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rge\Desktop\EXAMEN FARADAY\"/>
    </mc:Choice>
  </mc:AlternateContent>
  <xr:revisionPtr revIDLastSave="0" documentId="13_ncr:1_{4B9F3910-0F30-460B-B808-75778911129D}" xr6:coauthVersionLast="47" xr6:coauthVersionMax="47" xr10:uidLastSave="{00000000-0000-0000-0000-000000000000}"/>
  <bookViews>
    <workbookView xWindow="0" yWindow="360" windowWidth="23256" windowHeight="12456" firstSheet="1" activeTab="6" xr2:uid="{00000000-000D-0000-FFFF-FFFF00000000}"/>
  </bookViews>
  <sheets>
    <sheet name="Leyenda" sheetId="1" r:id="rId1"/>
    <sheet name="Inventario" sheetId="2" r:id="rId2"/>
    <sheet name="Requisitos" sheetId="3" r:id="rId3"/>
    <sheet name="Umbrales" sheetId="4" r:id="rId4"/>
    <sheet name="Pesos" sheetId="5" r:id="rId5"/>
    <sheet name="Escala" sheetId="6" r:id="rId6"/>
    <sheet name="Matriz" sheetId="7" r:id="rId7"/>
    <sheet name="Sensibilidad"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7" l="1"/>
  <c r="C15" i="7"/>
  <c r="F13" i="5"/>
  <c r="G13" i="5" s="1"/>
  <c r="H13" i="5" s="1"/>
  <c r="B13" i="7" s="1"/>
  <c r="F12" i="5"/>
  <c r="G12" i="5" s="1"/>
  <c r="H12" i="5" s="1"/>
  <c r="B12" i="7" s="1"/>
  <c r="F11" i="5"/>
  <c r="G11" i="5" s="1"/>
  <c r="H11" i="5" s="1"/>
  <c r="B11" i="7" s="1"/>
  <c r="F10" i="5"/>
  <c r="G10" i="5" s="1"/>
  <c r="H10" i="5" s="1"/>
  <c r="B10" i="7" s="1"/>
  <c r="F9" i="5"/>
  <c r="G9" i="5" s="1"/>
  <c r="H9" i="5" s="1"/>
  <c r="B9" i="7" s="1"/>
  <c r="F8" i="5"/>
  <c r="G7" i="5"/>
  <c r="H7" i="5" s="1"/>
  <c r="B7" i="7" s="1"/>
  <c r="F7" i="5"/>
  <c r="F6" i="5"/>
  <c r="G6" i="5" s="1"/>
  <c r="H6" i="5" s="1"/>
  <c r="B6" i="7" s="1"/>
  <c r="F5" i="5"/>
  <c r="G5" i="5" s="1"/>
  <c r="Y23" i="4"/>
  <c r="N16" i="7" s="1"/>
  <c r="W23" i="4"/>
  <c r="M16" i="7" s="1"/>
  <c r="U23" i="4"/>
  <c r="L16" i="7" s="1"/>
  <c r="S23" i="4"/>
  <c r="K16" i="7" s="1"/>
  <c r="Q23" i="4"/>
  <c r="J16" i="7" s="1"/>
  <c r="O23" i="4"/>
  <c r="I16" i="7" s="1"/>
  <c r="M23" i="4"/>
  <c r="H16" i="7" s="1"/>
  <c r="K23" i="4"/>
  <c r="G16" i="7" s="1"/>
  <c r="G17" i="7" s="1"/>
  <c r="I23" i="4"/>
  <c r="F16" i="7" s="1"/>
  <c r="G23" i="4"/>
  <c r="E16" i="7" s="1"/>
  <c r="E23" i="4"/>
  <c r="D16" i="7" s="1"/>
  <c r="C23" i="4"/>
  <c r="C16" i="7" s="1"/>
  <c r="C17" i="7" s="1"/>
  <c r="B26" i="3"/>
  <c r="B25" i="3"/>
  <c r="B24" i="3"/>
  <c r="B21" i="3"/>
  <c r="B22" i="3" s="1"/>
  <c r="B23" i="3" s="1"/>
  <c r="B19" i="3"/>
  <c r="B20" i="3" s="1"/>
  <c r="E49" i="2"/>
  <c r="B49" i="2"/>
  <c r="E48" i="2"/>
  <c r="B48" i="2"/>
  <c r="E47" i="2"/>
  <c r="B47" i="2"/>
  <c r="E46" i="2"/>
  <c r="B14" i="4" s="1"/>
  <c r="B46" i="2"/>
  <c r="E45" i="2"/>
  <c r="B13" i="4" s="1"/>
  <c r="B45" i="2"/>
  <c r="E44" i="2"/>
  <c r="B11" i="4" s="1"/>
  <c r="B44" i="2"/>
  <c r="E43" i="2"/>
  <c r="B10" i="4" s="1"/>
  <c r="B43" i="2"/>
  <c r="E42" i="2"/>
  <c r="B9" i="4" s="1"/>
  <c r="B42" i="2"/>
  <c r="E41" i="2"/>
  <c r="B8" i="4" s="1"/>
  <c r="B41" i="2"/>
  <c r="H34" i="2"/>
  <c r="H33" i="2"/>
  <c r="H31" i="2"/>
  <c r="H30" i="2"/>
  <c r="H29" i="2"/>
  <c r="H28" i="2"/>
  <c r="H27" i="2"/>
  <c r="H26" i="2"/>
  <c r="H25" i="2"/>
  <c r="H23" i="2"/>
  <c r="H22" i="2"/>
  <c r="H21" i="2"/>
  <c r="H20" i="2"/>
  <c r="H18" i="2"/>
  <c r="H17" i="2"/>
  <c r="H16" i="2"/>
  <c r="H15" i="2"/>
  <c r="H14" i="2"/>
  <c r="H12" i="2"/>
  <c r="H11" i="2"/>
  <c r="H10" i="2"/>
  <c r="H9" i="2"/>
  <c r="H8" i="2"/>
  <c r="H7" i="2"/>
  <c r="H6" i="2"/>
  <c r="H36" i="2" s="1"/>
  <c r="F14" i="5" l="1"/>
  <c r="G8" i="5"/>
  <c r="H5" i="5"/>
  <c r="G18" i="7"/>
  <c r="F5" i="8"/>
  <c r="F6" i="8"/>
  <c r="F7" i="8"/>
  <c r="F8" i="8"/>
  <c r="F9" i="8"/>
  <c r="F10" i="8"/>
  <c r="F11" i="8"/>
  <c r="F12" i="8"/>
  <c r="F13" i="8"/>
  <c r="F14" i="8"/>
  <c r="F15" i="8"/>
  <c r="C18" i="7"/>
  <c r="B6" i="8"/>
  <c r="B8" i="8"/>
  <c r="B10" i="8"/>
  <c r="B12" i="8"/>
  <c r="B14" i="8"/>
  <c r="B5" i="8"/>
  <c r="B7" i="8"/>
  <c r="B9" i="8"/>
  <c r="B11" i="8"/>
  <c r="B13" i="8"/>
  <c r="B15" i="8"/>
  <c r="H14" i="5" l="1"/>
  <c r="I14" i="5" s="1"/>
  <c r="B5" i="7"/>
  <c r="H8" i="5"/>
  <c r="B8" i="7" s="1"/>
  <c r="G14" i="5"/>
  <c r="E15" i="7" l="1"/>
  <c r="E17" i="7" s="1"/>
  <c r="N15" i="7"/>
  <c r="N17" i="7" s="1"/>
  <c r="M15" i="7"/>
  <c r="M17" i="7" s="1"/>
  <c r="I15" i="7"/>
  <c r="I17" i="7" s="1"/>
  <c r="J15" i="7"/>
  <c r="J17" i="7" s="1"/>
  <c r="D15" i="7"/>
  <c r="D17" i="7" s="1"/>
  <c r="F15" i="7"/>
  <c r="F17" i="7" s="1"/>
  <c r="H15" i="7"/>
  <c r="H17" i="7" s="1"/>
  <c r="K15" i="7"/>
  <c r="K17" i="7" s="1"/>
  <c r="L15" i="7"/>
  <c r="L17" i="7" s="1"/>
  <c r="D15" i="8" l="1"/>
  <c r="D14" i="8"/>
  <c r="D13" i="8"/>
  <c r="D11" i="8"/>
  <c r="D9" i="8"/>
  <c r="D7" i="8"/>
  <c r="D5" i="8"/>
  <c r="D12" i="8"/>
  <c r="D10" i="8"/>
  <c r="D8" i="8"/>
  <c r="D6" i="8"/>
  <c r="E18" i="7"/>
  <c r="M15" i="8"/>
  <c r="M14" i="8"/>
  <c r="M13" i="8"/>
  <c r="M12" i="8"/>
  <c r="M11" i="8"/>
  <c r="M10" i="8"/>
  <c r="M9" i="8"/>
  <c r="M8" i="8"/>
  <c r="M7" i="8"/>
  <c r="M6" i="8"/>
  <c r="M5" i="8"/>
  <c r="N18" i="7"/>
  <c r="L15" i="8"/>
  <c r="L14" i="8"/>
  <c r="L13" i="8"/>
  <c r="L12" i="8"/>
  <c r="L11" i="8"/>
  <c r="L10" i="8"/>
  <c r="L9" i="8"/>
  <c r="L8" i="8"/>
  <c r="L7" i="8"/>
  <c r="L6" i="8"/>
  <c r="L5" i="8"/>
  <c r="M18" i="7"/>
  <c r="H15" i="8"/>
  <c r="H14" i="8"/>
  <c r="H13" i="8"/>
  <c r="H12" i="8"/>
  <c r="H11" i="8"/>
  <c r="H10" i="8"/>
  <c r="H9" i="8"/>
  <c r="H8" i="8"/>
  <c r="H7" i="8"/>
  <c r="H6" i="8"/>
  <c r="H5" i="8"/>
  <c r="I18" i="7"/>
  <c r="I15" i="8"/>
  <c r="I14" i="8"/>
  <c r="I13" i="8"/>
  <c r="I12" i="8"/>
  <c r="I11" i="8"/>
  <c r="I10" i="8"/>
  <c r="I9" i="8"/>
  <c r="I8" i="8"/>
  <c r="I7" i="8"/>
  <c r="I6" i="8"/>
  <c r="I5" i="8"/>
  <c r="J18" i="7"/>
  <c r="B21" i="7"/>
  <c r="A22" i="7" s="1"/>
  <c r="B20" i="7"/>
  <c r="C15" i="8"/>
  <c r="N15" i="8" s="1"/>
  <c r="C13" i="8"/>
  <c r="N13" i="8" s="1"/>
  <c r="C11" i="8"/>
  <c r="C9" i="8"/>
  <c r="C7" i="8"/>
  <c r="C5" i="8"/>
  <c r="C14" i="8"/>
  <c r="C12" i="8"/>
  <c r="C10" i="8"/>
  <c r="C8" i="8"/>
  <c r="C6" i="8"/>
  <c r="D18" i="7"/>
  <c r="E15" i="8"/>
  <c r="E14" i="8"/>
  <c r="E12" i="8"/>
  <c r="E11" i="8"/>
  <c r="E10" i="8"/>
  <c r="E9" i="8"/>
  <c r="E7" i="8"/>
  <c r="E5" i="8"/>
  <c r="E13" i="8"/>
  <c r="E8" i="8"/>
  <c r="E6" i="8"/>
  <c r="F18" i="7"/>
  <c r="G15" i="8"/>
  <c r="G14" i="8"/>
  <c r="G13" i="8"/>
  <c r="G12" i="8"/>
  <c r="G11" i="8"/>
  <c r="G10" i="8"/>
  <c r="G9" i="8"/>
  <c r="G8" i="8"/>
  <c r="G7" i="8"/>
  <c r="G6" i="8"/>
  <c r="G5" i="8"/>
  <c r="H18" i="7"/>
  <c r="J15" i="8"/>
  <c r="J14" i="8"/>
  <c r="J13" i="8"/>
  <c r="J12" i="8"/>
  <c r="J11" i="8"/>
  <c r="J10" i="8"/>
  <c r="J9" i="8"/>
  <c r="J8" i="8"/>
  <c r="J7" i="8"/>
  <c r="J6" i="8"/>
  <c r="J5" i="8"/>
  <c r="K18" i="7"/>
  <c r="K15" i="8"/>
  <c r="K14" i="8"/>
  <c r="K13" i="8"/>
  <c r="K12" i="8"/>
  <c r="K11" i="8"/>
  <c r="K10" i="8"/>
  <c r="K9" i="8"/>
  <c r="K8" i="8"/>
  <c r="K7" i="8"/>
  <c r="K6" i="8"/>
  <c r="K5" i="8"/>
  <c r="L18" i="7"/>
  <c r="N11" i="8" l="1"/>
  <c r="N9" i="8"/>
  <c r="N7" i="8"/>
  <c r="N5" i="8"/>
  <c r="B17" i="8" s="1"/>
  <c r="N14" i="8"/>
  <c r="N12" i="8"/>
  <c r="N10" i="8"/>
  <c r="N8" i="8"/>
  <c r="N6" i="8"/>
</calcChain>
</file>

<file path=xl/sharedStrings.xml><?xml version="1.0" encoding="utf-8"?>
<sst xmlns="http://schemas.openxmlformats.org/spreadsheetml/2006/main" count="952" uniqueCount="506">
  <si>
    <t>Selección del microcontrolador — matriz de decisión</t>
  </si>
  <si>
    <t>Método: proceso de análisis de decisiones del NASA Systems Engineering Handbook (NASA/SP-2016-6105 Rev2), sección 6.8: definir criterios → identificar alternativas → analizarlas → elegir. El orden importa: fijo los umbrales y los pesos ANTES de mirar a los candidatos, para no ajustarlos al que ya me gustaba.</t>
  </si>
  <si>
    <t>Cómo se usa este libro, en orden</t>
  </si>
  <si>
    <t>1. Requisitos</t>
  </si>
  <si>
    <t>Traduzco la misión a números. Cada número sale de un cálculo que puedo rehacer o de un dato de vuelo. Si cambio los datos de entrada, todo lo demás se recalcula.</t>
  </si>
  <si>
    <t>2. Umbrales</t>
  </si>
  <si>
    <t>Filtro eliminatorio: se cumple o no se cumple. Quien falla uno queda fuera SIN puntuar. Aquí meto todo lo que no se puede compensar con otra cosa.</t>
  </si>
  <si>
    <t>3. Pesos</t>
  </si>
  <si>
    <t>Solo para los que sobreviven al filtro. El peso no lo pongo a ojo: sale de la severidad del fallo que ese criterio evita y de si ese fallo se detecta antes de volar.</t>
  </si>
  <si>
    <t>4. Escala</t>
  </si>
  <si>
    <t>Qué significa un 1 y qué significa un 5 en cada criterio, en términos medibles. Lo defino antes de puntuar para no ajustar la escala al candidato que ya me gusta.</t>
  </si>
  <si>
    <t>5. Matriz</t>
  </si>
  <si>
    <t>Puntúo de 1 a 5 con el dato de cada ficha técnica y sale la puntuación ponderada.</t>
  </si>
  <si>
    <t>6. Sensibilidad</t>
  </si>
  <si>
    <t>La prueba que hace defendible la decisión: ¿gana el mismo si muevo los pesos, si los igualo o si quito un criterio? Si sí, la decisión no depende de mi opinión.</t>
  </si>
  <si>
    <t>Código de color</t>
  </si>
  <si>
    <t>Fondo amarillo</t>
  </si>
  <si>
    <t>Celda que relleno yo. Es donde vive mi criterio de ingeniería.</t>
  </si>
  <si>
    <t>Fondo crema</t>
  </si>
  <si>
    <t>Ejemplo de referencia (columna STM32F411RE). Verifico cada dato en la ficha técnica antes de citarlo.</t>
  </si>
  <si>
    <t>Texto azul</t>
  </si>
  <si>
    <t>Dato de entrada que decido yo (un umbral, una hipótesis de cálculo).</t>
  </si>
  <si>
    <t>Texto negro</t>
  </si>
  <si>
    <t>Fórmula. No la toques: se recalcula sola.</t>
  </si>
  <si>
    <t>Texto verde</t>
  </si>
  <si>
    <t>Enlace a otra hoja de este mismo libro.</t>
  </si>
  <si>
    <t>Etiqueta de evidencia (para la entrevista)</t>
  </si>
  <si>
    <t>Etiqueta</t>
  </si>
  <si>
    <t>Qué es</t>
  </si>
  <si>
    <t>Cómo lo defiendes</t>
  </si>
  <si>
    <t>Su punto débil</t>
  </si>
  <si>
    <t>Fuente</t>
  </si>
  <si>
    <t>Ficha técnica, nota de aplicación, norma o artículo.</t>
  </si>
  <si>
    <t>Cito el documento y la página.</t>
  </si>
  <si>
    <t>Las cifras del fabricante son en condiciones ideales: leo las condiciones de medida.</t>
  </si>
  <si>
    <t>Vuelo</t>
  </si>
  <si>
    <t>Algo que pasó en un vuelo o una competición reales.</t>
  </si>
  <si>
    <t>Ocurrió de verdad, con informe público.</t>
  </si>
  <si>
    <t>Era otro cohete: tengo que argumentar por qué me aplica a mí.</t>
  </si>
  <si>
    <t>Cálculo</t>
  </si>
  <si>
    <t>Un número que puedes rehacer en la pizarra.</t>
  </si>
  <si>
    <t>Lo repito delante del entrevistador.</t>
  </si>
  <si>
    <t>Solo vale si las hipótesis son buenas; las enuncio.</t>
  </si>
  <si>
    <t>Criterio propio</t>
  </si>
  <si>
    <t>Razonamiento de ingeniería sin una fuente única. Los pesos de este libro son de este tipo.</t>
  </si>
  <si>
    <t>Explico el razonamiento y qué pasaría si lo cambio.</t>
  </si>
  <si>
    <t>Es opinión: no lo presento nunca como si fuera una fuente.</t>
  </si>
  <si>
    <t>Los pesos, los umbrales y las notas de este libro son míos y son lo más discutible del análisis. Lo que defiendo no es cada número, es el razonamiento que hay detrás y el hecho de haber comprobado cuánto depende la decisión de ellos.</t>
  </si>
  <si>
    <t>Paso 0 — Inventario de dispositivos</t>
  </si>
  <si>
    <t>Esta hoja va ANTES que los umbrales: la cuenta de buses no sale del catálogo del micro, sale de lo que cuelga de él. El método que sigo: primero qué estados tengo que estimar, qué eventos tengo que detectar y qué salud tengo que vigilar; de ahí salen los sensores, y de los sensores, los buses.</t>
  </si>
  <si>
    <t>Para qué lo necesito</t>
  </si>
  <si>
    <t>Componente elegido</t>
  </si>
  <si>
    <t>Cant.</t>
  </si>
  <si>
    <t>Por qué ese componente y esa cantidad</t>
  </si>
  <si>
    <t>Interfaz</t>
  </si>
  <si>
    <t>Bytes/lectura</t>
  </si>
  <si>
    <t>Frec. (Hz)</t>
  </si>
  <si>
    <t>Ancho de banda (kbit/s)</t>
  </si>
  <si>
    <t>ESTIMAR ESTADOS (el filtro de Kalman)</t>
  </si>
  <si>
    <t>Actitud y aceleración en las tres fases del vuelo</t>
  </si>
  <si>
    <t>IMU 6 ejes ICM-42686-P</t>
  </si>
  <si>
    <t>Descarto el MPU6050, con el que ya he trabajado, por sus limitaciones. Frente al ICM-42688-P, que es el que más usan los equipos de cohetería, el 42686-P dobla los límites programables: ±32 g y ±4.000 °/s, y eso me quita una saturación en la fase de empuje. Pongo una y no dos: la duplicación se exige en EuRoC y en la America Cup, pero aquí no me obliga el reglamento, y entre la electrónica comercial redundante y el resto de sensores ya tengo con qué contrastar la medida.</t>
  </si>
  <si>
    <t>SPI</t>
  </si>
  <si>
    <t>Aceleración durante la combustión sin saturar</t>
  </si>
  <si>
    <t>Acelerómetro de alta g H3LIS200DL (±200 g)</t>
  </si>
  <si>
    <t>La IMU satura en ±32 g y el empuje da decenas. ST especifica este integrado para detección de choques y vibraciones extremas hasta ±200 g, y aguanta hasta 10.000 g sin destruirse. Es de 8 bits: lo quiero para la fase que satura a la IMU, no para precisión.</t>
  </si>
  <si>
    <t>Velocidad de alabeo tras el apagado sin saturar</t>
  </si>
  <si>
    <t>Giróscopo de alto rango ADXRS649 (±20.000 °/s)</t>
  </si>
  <si>
    <t>Casi toda IMU MEMS topa en ±2.000 °/s, unas 333 rpm: si el cohete gira más tras el apagado pierdo la actitud justo cuando la necesito. Salida analógica, así que me gasta un canal de ADC y no un bus, y leyéndolo por DMA no me cuesta CPU.</t>
  </si>
  <si>
    <t>ADC</t>
  </si>
  <si>
    <t>Referencia de rumbo (deriva del giróscopo en guiñada)</t>
  </si>
  <si>
    <t>Magnetómetro 3 ejes RM3100</t>
  </si>
  <si>
    <t>Sin GNSS ni magnetómetro el error de guiñada crece sin nada que lo ate. Elijo el RM3100 sobre el MMC5983MA porque deriva menos con la temperatura. Lo calibro con la IMU ya montada en su estructura final: el cartucho de CO2 de acero mete error de hierro duro.</t>
  </si>
  <si>
    <t>Altitud por debajo de unos 30 km</t>
  </si>
  <si>
    <t>Barómetro MS5607</t>
  </si>
  <si>
    <t>El MS5607 es el estándar de facto en cohetería; el BMP390 va mejor de consumo y de ruido y lo dejo anotado como alternativa. Pongo dos: uno en mi ordenador y otro en la electrónica de recuperación redundante. El segundo no cuelga de mi I2C, pero lo dejo en el inventario porque es el que me da la segunda opinión de apogeo. Por encima de 31 km ninguno de los dos sirve.</t>
  </si>
  <si>
    <t>I2C</t>
  </si>
  <si>
    <t>Temperatura ambiente para la ecuación barométrica y el sesgo del giróscopo</t>
  </si>
  <si>
    <t>Integrado en el barómetro y en la IMU</t>
  </si>
  <si>
    <t>No compro nada: ya viene dentro. Pero tengo que usarlo, porque el sesgo del giróscopo deriva con la temperatura y es el error dominante del INS en un vuelo de 12 min.</t>
  </si>
  <si>
    <t>—</t>
  </si>
  <si>
    <t>Posición y velocidad absolutas cuando se puede</t>
  </si>
  <si>
    <t>GNSS de alta dinámica (u-blox, modo Airborne &lt;4 g)</t>
  </si>
  <si>
    <t>Se me va a bloquear por los límites COCOM durante el ascenso. Lo trato como una ayuda intermitente del filtro, no como la fuente de verdad.</t>
  </si>
  <si>
    <t>UART</t>
  </si>
  <si>
    <t>DETECTAR EVENTOS</t>
  </si>
  <si>
    <t>Saber que la carga de recuperación ha disparado de verdad</t>
  </si>
  <si>
    <t>Medida de continuidad de cerilla (divisor + ADC)</t>
  </si>
  <si>
    <t>2 canales por evento, drogue y principal, porque EuRoC exige recuperación redundante. Antes del vuelo me dice si la cerilla está conectada; después, si ha disparado.</t>
  </si>
  <si>
    <t>Saber que algo se ha separado FÍSICAMENTE</t>
  </si>
  <si>
    <t>Breakwire o microinterruptor de separación</t>
  </si>
  <si>
    <t>El que más se olvida y el que más me habría servido: distingue «he disparado la carga» de «se ha abierto». Un fallo de recuperación por un nudo en la cuerda del principal se ve aquí y no en la continuidad.</t>
  </si>
  <si>
    <t>GPIO</t>
  </si>
  <si>
    <t>Armar el sistema desde fuera del cohete en rampa</t>
  </si>
  <si>
    <t>Interruptor de armado externo / pull-pin</t>
  </si>
  <si>
    <t>Requisito de seguridad de competición: se arma con el cohete ya en rampa, sin abrirlo. Si no lo preveo en el diseño mecánico, no paso la revisión.</t>
  </si>
  <si>
    <t>Saber en qué posición está realmente el aerofreno</t>
  </si>
  <si>
    <t>Encoder o potenciómetro de posición</t>
  </si>
  <si>
    <t>Lazo cerrado. Un servo que dice estar a 30° y no lo está me arruina el control de apogeo y no me entero. Va en el nodo de la otra bahía; lo dejo contado en mi ADC hasta que cierre el reparto de bahías.</t>
  </si>
  <si>
    <t>Detectar que el aerofreno se ha atascado</t>
  </si>
  <si>
    <t>Medida de corriente del servo (shunt o INA)</t>
  </si>
  <si>
    <t>Un pico de corriente sostenido es un atasco. Sin esto, el actuador falla en silencio. Mismo caso que el encoder: nodo del aerofreno, contado aquí por prudencia.</t>
  </si>
  <si>
    <t>VIGILAR LA SALUD DEL SISTEMA</t>
  </si>
  <si>
    <t>Cuánta batería queda tras horas en rampa</t>
  </si>
  <si>
    <t>Monitor de tensión y corriente INA226</t>
  </si>
  <si>
    <t>Los LiPo descargan en meseta: mantienen la tensión durante casi toda su capacidad y caen en picado al final. Con 6 h en rampa, mirar solo la tensión me diría que la batería está llena hasta cinco minutos antes de apagarse, así que cuento culombios integrando corriente. Uno por batería, vuelo y recuperación.</t>
  </si>
  <si>
    <t>Respaldo analógico del estado de batería</t>
  </si>
  <si>
    <t>Divisor de tensión a ADC</t>
  </si>
  <si>
    <t>Si se me cae el bus I2C me quedo sin saber la batería. El divisor no depende de ningún bus.</t>
  </si>
  <si>
    <t>Temperatura de la batería (seguridad del LiPo)</t>
  </si>
  <si>
    <t>Termistor NTC</t>
  </si>
  <si>
    <t>Un LiPo fuera de rango de temperatura es un riesgo, y la capacidad cae con el frío en altura.</t>
  </si>
  <si>
    <t>Temperatura de la electrónica</t>
  </si>
  <si>
    <t>LM75B o el sensor interno del micro</t>
  </si>
  <si>
    <t>Verifica en vuelo el rango industrial de −40 a 85 °C que he puesto como umbral.</t>
  </si>
  <si>
    <t>REGISTRAR Y COMUNICAR</t>
  </si>
  <si>
    <t>Guardar el vuelo entero sin quedarme sin sitio</t>
  </si>
  <si>
    <t>Flash NOR por QSPI</t>
  </si>
  <si>
    <t>Descarto la microSD: su controladora interna mete latencias impredecibles y el sistema de ficheros FAT32 se corrompe con vibración. La flash NOR la escribo por bloques y con DMA. La dimensiono con el cálculo de la hoja Requisitos: 18,4 MB. El altímetro de respaldo de USC se quedó sin memoria a los 375 s de un vuelo de 754 s.</t>
  </si>
  <si>
    <t>QSPI/SDMMC</t>
  </si>
  <si>
    <t>Vuelo + Cálculo</t>
  </si>
  <si>
    <t>Telemetría en tiempo real</t>
  </si>
  <si>
    <t>Par de Matek mR900-30 con mLRS, 868 MHz</t>
  </si>
  <si>
    <t>La antena va obligatoriamente en una sección de fibra de vidrio o en la ojiva: el carbono es opaco a RF. Con 868 MHz y más de 150 km de enlace tengo que contar con unos 135 dB de pérdidas y con el Doppler.</t>
  </si>
  <si>
    <t>Depurar y volcar datos en tierra</t>
  </si>
  <si>
    <t>Consola serie</t>
  </si>
  <si>
    <t>Una UART dedicada. No la comparto con la radio: cuando falle la radio es cuando querré la consola.</t>
  </si>
  <si>
    <t>Base de tiempo del filtro</t>
  </si>
  <si>
    <t>TCXO + señal PPS del GNSS</t>
  </si>
  <si>
    <t>Es el dt de mi Kalman. El PPS entra por captura de timer y me disciplina el reloj. El contador de 32 bits en µs da la vuelta cada 71,6 min, así que en 6 h de rampa da cinco vueltas antes de despegar y lo tengo que gestionar en firmware.</t>
  </si>
  <si>
    <t>Timer</t>
  </si>
  <si>
    <t>Hablar con la bahía del aerofreno</t>
  </si>
  <si>
    <t>Bus CAN entre bahías</t>
  </si>
  <si>
    <t>Cablear sensores sueltos entre bahías es peor que un bus. Me queda por definir la tabla de mensajes: identificador, contenido, frecuencia y qué hago si ese nodo muere.</t>
  </si>
  <si>
    <t>CAN</t>
  </si>
  <si>
    <t>Avisar de dónde ha caído / estado en rampa</t>
  </si>
  <si>
    <t>Zumbador</t>
  </si>
  <si>
    <t>Lo agradeceré buscando el cohete en el campo, y me sirve para comprobar el armado en rampa.</t>
  </si>
  <si>
    <t>PWM</t>
  </si>
  <si>
    <t>Mover el aerofreno</t>
  </si>
  <si>
    <t>Servo</t>
  </si>
  <si>
    <t>Viene del ejercicio de Hardware. Va en el nodo de la otra bahía, no en mi placa.</t>
  </si>
  <si>
    <t>INDEPENDIENTES (no cuelgan de tu micro)</t>
  </si>
  <si>
    <t>Recuperación redundante exigida por la competición</t>
  </si>
  <si>
    <t>Electrónica comercial (p. ej. CATS Vega) con batería propia</t>
  </si>
  <si>
    <t>Guía de EuRoC 3.3 y 3.4.1: recuperación redundante y al menos una comercial. No es opcional, y además me da un tercer voto de apogeo y datos con los que contrastar los míos.</t>
  </si>
  <si>
    <t>Ninguna</t>
  </si>
  <si>
    <t>Encontrar el cohete después de aterrizar</t>
  </si>
  <si>
    <t>Localizador independiente con su propia batería y radio</t>
  </si>
  <si>
    <t>Si mi ordenador muere, el cohete sigue en algún sitio. Este no depende de nada mío.</t>
  </si>
  <si>
    <t>Tráfico total de lectura de sensores (kbit/s)</t>
  </si>
  <si>
    <t>Para comparar: un solo bus SPI a 10 MHz mueve 10.000 kbit/s, así que todo esto junto ocupa un 3 % de UN bus. La conclusión que defiendo: no separo los buses por ancho de banda, los separo por latencia y por aislamiento de fallos.</t>
  </si>
  <si>
    <t>De dispositivos a buses (esto es lo que le pides al micro)</t>
  </si>
  <si>
    <t>Recurso del micro</t>
  </si>
  <si>
    <t>Dispositivos que lo usan</t>
  </si>
  <si>
    <t>Buses/canales que pido</t>
  </si>
  <si>
    <t>Reserva</t>
  </si>
  <si>
    <t>TOTAL exigido</t>
  </si>
  <si>
    <t>Por qué ese reparto</t>
  </si>
  <si>
    <t>SPI1 solo para la IMU, para que nada le meta latencia en el lazo del filtro. SPI2 para el acelerómetro de alta g y el magnetómetro, que no compiten con ella. La memoria de registro ya no gasta SPI porque la he puesto en QSPI, así que con 2 buses me basta y pido 1 de reserva. Es el mismo criterio de reparto que sigue el CATS Vega.</t>
  </si>
  <si>
    <t>UART / USART</t>
  </si>
  <si>
    <t>Punto a punto: cada dispositivo pide la suya. GNSS, radio y consola de depuración, más una de reserva porque es lo primero que se me queda corto si añado un nodo.</t>
  </si>
  <si>
    <t>Caben todos en un bus con direcciones distintas. Cuento los dos barómetros aunque el segundo vaya en la electrónica redundante: si acabo poniéndolo en mi placa ya está contado. Tengo que vigilar el choque de direcciones, porque muchos de estos sensores solo ofrecen dos, y los 400 pF de la especificación.</t>
  </si>
  <si>
    <t>CAN (bxCAN o FDCAN)</t>
  </si>
  <si>
    <t>Un bus hacia la bahía del aerofreno. Me queda confirmar con el equipo si ya hay un bus entre bahías definido para no inventarme otro.</t>
  </si>
  <si>
    <t>Canales ADC</t>
  </si>
  <si>
    <t>4 de continuidad + 2 termistores + 2 tensiones + posición del aerofreno + corriente del servo + el giróscopo de alto rango, que es analógico. De los 11, dos son del nodo del aerofreno: si se quedan allí me bastan 9 + 1 de reserva. Los dejo contados aquí hasta cerrar el reparto de bahías en CubeMX.</t>
  </si>
  <si>
    <t>Salidas PWM</t>
  </si>
  <si>
    <t>Zumbador y servo del aerofreno, aunque el servo esté en la otra bahía. Contado por prudencia.</t>
  </si>
  <si>
    <t>Entradas GPIO</t>
  </si>
  <si>
    <t>2 breakwire + armado + 3 chip-select, uno por dispositivo SPI + 3 interrupciones de dato listo. Antes contaba 6 chip-select porque venían de una IMU redundante que al final no llevo.</t>
  </si>
  <si>
    <t>QSPI o SDMMC</t>
  </si>
  <si>
    <t>La memoria de registro, con DMA.</t>
  </si>
  <si>
    <t>Captura de timer</t>
  </si>
  <si>
    <t>El PPS del GNSS para disciplinar el reloj.</t>
  </si>
  <si>
    <t>Ojo con la diferencia entre las dos columnas del medio: «dispositivos» no es «buses». En SPI caben varios en el mismo bus, cada uno con su chip-select, así que mis 3 dispositivos SPI son 2 buses. Solo separo en buses distintos por tres motivos: porque uno es crítico en tiempo y otro ocupa mucho el bus; porque sus velocidades máximas son muy distintas; o porque no quiero que un fallo de bus me tumbe dos sensores a la vez.</t>
  </si>
  <si>
    <t>Último paso: abro CubeMX, asigno todo esto en el encapsulado concreto y compruebo que sale a la vez. Las patillas están multiplexadas y es normal que dos periféricos que necesito se peleen por la misma. Ese conflicto es un umbral incumplido, no un inconveniente.</t>
  </si>
  <si>
    <t>Paso 1 — De la misión a los números</t>
  </si>
  <si>
    <t>Cada requisito del micro sale de la misión, no del catálogo. Si cambio los datos de entrada (azul), los requisitos se recalculan solos.</t>
  </si>
  <si>
    <t>Datos de entrada (los decides tú)</t>
  </si>
  <si>
    <t>Parámetro</t>
  </si>
  <si>
    <t>Valor</t>
  </si>
  <si>
    <t>Unidad</t>
  </si>
  <si>
    <t>De dónde sale</t>
  </si>
  <si>
    <t>Duración del vuelo de referencia</t>
  </si>
  <si>
    <t>s</t>
  </si>
  <si>
    <t>Aftershock II (USC) aterrizó a T+754 s.</t>
  </si>
  <si>
    <t>Margen sobre la duración de vuelo</t>
  </si>
  <si>
    <t>×</t>
  </si>
  <si>
    <t>El vuelo real puede durar más que el simulado. Me dejo un margen del 100 %.</t>
  </si>
  <si>
    <t>Espera mínima en rampa</t>
  </si>
  <si>
    <t>h</t>
  </si>
  <si>
    <t>Guía de EuRoC, apartado 3.4: autonomía mínima en rampa.</t>
  </si>
  <si>
    <t>Estados del filtro de Kalman (n)</t>
  </si>
  <si>
    <t>estados</t>
  </si>
  <si>
    <t>USC usó 15 estados (en MATLAB, post-vuelo). CATS Vega usa 3 a bordo.</t>
  </si>
  <si>
    <t>Frecuencia del filtro</t>
  </si>
  <si>
    <t>Hz</t>
  </si>
  <si>
    <t>Objetivo de diseño mío. El CATS Vega corre a 100 Hz.</t>
  </si>
  <si>
    <t>Coste del filtro por paso</t>
  </si>
  <si>
    <t>× n³ ops</t>
  </si>
  <si>
    <t>Estimación del coste de propagar la covarianza (O(n³)).</t>
  </si>
  <si>
    <t>Ciclos por operación en coma flotante</t>
  </si>
  <si>
    <t>ciclos</t>
  </si>
  <si>
    <t>Incluyo accesos a memoria y bucle, no solo la instrucción de la FPU.</t>
  </si>
  <si>
    <t>Bytes por muestra de registro</t>
  </si>
  <si>
    <t>bytes</t>
  </si>
  <si>
    <t>Estimación mía de la trama de telemetría y registro.</t>
  </si>
  <si>
    <t>Frecuencia de registro</t>
  </si>
  <si>
    <t>Objetivo de diseño mío.</t>
  </si>
  <si>
    <t>Escala de posición en ECEF</t>
  </si>
  <si>
    <t>m</t>
  </si>
  <si>
    <t>Radio terrestre aproximado.</t>
  </si>
  <si>
    <t>Requisitos que salen de esos datos</t>
  </si>
  <si>
    <t>Requisito</t>
  </si>
  <si>
    <t>Cómo se obtiene</t>
  </si>
  <si>
    <t>Duración de misión de diseño (registro y energía)</t>
  </si>
  <si>
    <t>Duración de vuelo × (1 + margen).</t>
  </si>
  <si>
    <t>Memoria de registro necesaria</t>
  </si>
  <si>
    <t>MB</t>
  </si>
  <si>
    <t>bytes/muestra × Hz × duración de diseño. El altímetro de respaldo de USC se quedó sin memoria a los 375 s de un vuelo de 754 s: por eso lo dimensiono con margen.</t>
  </si>
  <si>
    <t>Cálculo + Vuelo</t>
  </si>
  <si>
    <t>Operaciones en coma flotante por paso del filtro</t>
  </si>
  <si>
    <t>ops</t>
  </si>
  <si>
    <t>Coste por paso ≈ 6·n³.</t>
  </si>
  <si>
    <t>Carga de cálculo del filtro</t>
  </si>
  <si>
    <t>Mops/s</t>
  </si>
  <si>
    <t>ops por paso × frecuencia del filtro.</t>
  </si>
  <si>
    <t>Ciclos de CPU por segundo que consume el filtro</t>
  </si>
  <si>
    <t>Mciclos/s</t>
  </si>
  <si>
    <t>Mops/s × ciclos por operación. Lo comparo con los MHz del candidato: eso es el % de CPU.</t>
  </si>
  <si>
    <t>Resolución de un float de 32 bits a escala ECEF</t>
  </si>
  <si>
    <t>Mantisa de 24 bits: entre 2^22 y 2^23 los valores van de 0,5 en 0,5. O uso FPU de doble precisión o trabajo en un marco local ENU.</t>
  </si>
  <si>
    <t>Vuelta del contador de microsegundos de 32 bits</t>
  </si>
  <si>
    <t>min</t>
  </si>
  <si>
    <t>2^32 µs. Con 6 h en rampa da la vuelta varias veces antes del despegue, así que lo gestiono en firmware.</t>
  </si>
  <si>
    <t>Vueltas del contador durante la espera en rampa</t>
  </si>
  <si>
    <t>vueltas</t>
  </si>
  <si>
    <t>Horas en rampa × 60 / minutos por vuelta.</t>
  </si>
  <si>
    <t>Rango de temperatura exigido</t>
  </si>
  <si>
    <t>−40 a 85 °C</t>
  </si>
  <si>
    <t>°C</t>
  </si>
  <si>
    <t>Rango industrial. Es el sufijo del número de pieza, no el de la familia.</t>
  </si>
  <si>
    <t>Este resultado es el que leo antes de poner los pesos: los ciclos que consume mi filtro son una fracción pequeña de los MHz de todos los candidatos, así que la potencia de cálculo NO distingue entre ellos y no merece un peso alto. Lo mido en una Nucleo en cuanto la tenga, en vez de suponerlo: esa medida es lo que puedo enseñar en la entrevista.</t>
  </si>
  <si>
    <t>Paso 2 — Filtro de umbrales (eliminatorio)</t>
  </si>
  <si>
    <t>Un umbral no se puntúa: se cumple o no. Quien falla uno queda fuera, por muy bien que esté en lo demás. Es lo que impide que un micro barato me compense con el precio una carencia que me tira el cohete.</t>
  </si>
  <si>
    <t>Umbral</t>
  </si>
  <si>
    <t>Mínimo exigido</t>
  </si>
  <si>
    <t>STM32F411RE</t>
  </si>
  <si>
    <t>STM32F446RE</t>
  </si>
  <si>
    <t>STM32G474RE</t>
  </si>
  <si>
    <t>STM32H743ZI</t>
  </si>
  <si>
    <t>ESP32-S3</t>
  </si>
  <si>
    <t>STM32F767ZI</t>
  </si>
  <si>
    <t>STM32H563ZI</t>
  </si>
  <si>
    <t>STM32L476RG</t>
  </si>
  <si>
    <t>STM32L552ZE</t>
  </si>
  <si>
    <t>STM32U385RG</t>
  </si>
  <si>
    <t>STM32U5A5ZJ</t>
  </si>
  <si>
    <t>STM32C5A3ZG</t>
  </si>
  <si>
    <t>Dato</t>
  </si>
  <si>
    <t>¿Cumple?</t>
  </si>
  <si>
    <t>Familia STM32</t>
  </si>
  <si>
    <t>Exigido por el enunciado</t>
  </si>
  <si>
    <t>STM32</t>
  </si>
  <si>
    <t>SÍ</t>
  </si>
  <si>
    <t>Xtensa LX7, no es ST</t>
  </si>
  <si>
    <t>NO</t>
  </si>
  <si>
    <t>FPU en hardware</t>
  </si>
  <si>
    <t>Obligatoria para el filtro</t>
  </si>
  <si>
    <t>Cortex-M4F, simple</t>
  </si>
  <si>
    <t>Cortex-M7, doble precisión</t>
  </si>
  <si>
    <t>FPU simple</t>
  </si>
  <si>
    <t>Cortex-M33, simple</t>
  </si>
  <si>
    <t>Buses SPI</t>
  </si>
  <si>
    <t>5</t>
  </si>
  <si>
    <t>3 — justo, sin margen</t>
  </si>
  <si>
    <t>6</t>
  </si>
  <si>
    <t>4 (2 libres)</t>
  </si>
  <si>
    <t>3 — justo, sin reserva</t>
  </si>
  <si>
    <t>6 (4 USART + 2 UART)</t>
  </si>
  <si>
    <t>5 + LPUART</t>
  </si>
  <si>
    <t>8 + LPUART</t>
  </si>
  <si>
    <t>3</t>
  </si>
  <si>
    <t>8 (4 USART + 4 UART)</t>
  </si>
  <si>
    <t>13 (6 USART + 7 UART)</t>
  </si>
  <si>
    <t>5 (3 USART + 2 UART)</t>
  </si>
  <si>
    <t>7</t>
  </si>
  <si>
    <t>4</t>
  </si>
  <si>
    <t>2</t>
  </si>
  <si>
    <t>2 — justo</t>
  </si>
  <si>
    <t>0 — no tiene CAN</t>
  </si>
  <si>
    <t>2 bxCAN</t>
  </si>
  <si>
    <t>3 FDCAN</t>
  </si>
  <si>
    <t>2 FDCAN</t>
  </si>
  <si>
    <t>1 TWAI</t>
  </si>
  <si>
    <t>3 bxCAN</t>
  </si>
  <si>
    <t>1 bxCAN — justo</t>
  </si>
  <si>
    <t>1 FDCAN — justo</t>
  </si>
  <si>
    <t>Interfaz de registro</t>
  </si>
  <si>
    <t>SDMMC/SDIO o QSPI con DMA</t>
  </si>
  <si>
    <t>SDIO</t>
  </si>
  <si>
    <t>FMC + Quad SPI + SD/MMC</t>
  </si>
  <si>
    <t>QUADSPI, sin SD/MMC</t>
  </si>
  <si>
    <t>2 SDMMC + Dual Quad SPI</t>
  </si>
  <si>
    <t>SDMMC + flash SPI</t>
  </si>
  <si>
    <t>Dual Quad SPI + SD/MMC</t>
  </si>
  <si>
    <t>Octo SPI + SD/MMC</t>
  </si>
  <si>
    <t>Dual Octo SPI, sin SD/MMC</t>
  </si>
  <si>
    <t>Octo SPI, sin SD/MMC</t>
  </si>
  <si>
    <t>16</t>
  </si>
  <si>
    <t>26</t>
  </si>
  <si>
    <t>28</t>
  </si>
  <si>
    <t>20</t>
  </si>
  <si>
    <t>24</t>
  </si>
  <si>
    <t>18</t>
  </si>
  <si>
    <t>14</t>
  </si>
  <si>
    <t>15</t>
  </si>
  <si>
    <t>22</t>
  </si>
  <si>
    <t>Timers con PWM</t>
  </si>
  <si>
    <t>8</t>
  </si>
  <si>
    <t>14 timers</t>
  </si>
  <si>
    <t>13 timers</t>
  </si>
  <si>
    <t>8 canales LEDC</t>
  </si>
  <si>
    <t>18 timers</t>
  </si>
  <si>
    <t>11 timers</t>
  </si>
  <si>
    <t>6 timers</t>
  </si>
  <si>
    <t>15 timers</t>
  </si>
  <si>
    <t>12 timers</t>
  </si>
  <si>
    <t>RAM</t>
  </si>
  <si>
    <t>≥ requisito del filtro + buffers</t>
  </si>
  <si>
    <t>128 kB</t>
  </si>
  <si>
    <t>1 MB</t>
  </si>
  <si>
    <t>512 kB</t>
  </si>
  <si>
    <t>640 kB</t>
  </si>
  <si>
    <t>256 kB</t>
  </si>
  <si>
    <t>2,5 MB</t>
  </si>
  <si>
    <t>Flash interna</t>
  </si>
  <si>
    <t>≥ 256 kB</t>
  </si>
  <si>
    <t>2 MB</t>
  </si>
  <si>
    <t>Externa</t>
  </si>
  <si>
    <t>4 MB</t>
  </si>
  <si>
    <t>Temperatura</t>
  </si>
  <si>
    <t>−40 a 85 °C (sufijo del número de pieza)</t>
  </si>
  <si>
    <t>−40/105</t>
  </si>
  <si>
    <t>−40/125</t>
  </si>
  <si>
    <t>−40/85</t>
  </si>
  <si>
    <t>Encapsulado soldable por el equipo</t>
  </si>
  <si>
    <t>LQFP (sin horno ni rayos X)</t>
  </si>
  <si>
    <t>LQFP64</t>
  </si>
  <si>
    <t>LQFP144</t>
  </si>
  <si>
    <t>Módulo QFN</t>
  </si>
  <si>
    <t>Placa de evaluación disponible ya</t>
  </si>
  <si>
    <t>Nucleo o Discovery en stock</t>
  </si>
  <si>
    <t>Nucleo-F411RE</t>
  </si>
  <si>
    <t>Nucleo-F446RE</t>
  </si>
  <si>
    <t>Nucleo-G474RE</t>
  </si>
  <si>
    <t>Nucleo-H743ZI2</t>
  </si>
  <si>
    <t>DevKitC</t>
  </si>
  <si>
    <t>Nucleo-F767ZI</t>
  </si>
  <si>
    <t>Nucleo-H563ZI</t>
  </si>
  <si>
    <t>Nucleo-L476RG</t>
  </si>
  <si>
    <t>Nucleo-L552ZE-Q</t>
  </si>
  <si>
    <t>Nucleo-U385RG-Q</t>
  </si>
  <si>
    <t>Nucleo-U5A5ZJ-Q</t>
  </si>
  <si>
    <t>Por confirmar — serie nueva</t>
  </si>
  <si>
    <t>Disponibilidad y longevidad</t>
  </si>
  <si>
    <t>En stock y en programa de longevidad de ST</t>
  </si>
  <si>
    <t>Sí</t>
  </si>
  <si>
    <t>Sí; escasez en 2021</t>
  </si>
  <si>
    <t>Sí; serie de 2025</t>
  </si>
  <si>
    <t>Sí; serie nueva</t>
  </si>
  <si>
    <t>Todo coexiste en el encapsulado</t>
  </si>
  <si>
    <t>Verificado en CubeMX sin conflictos de patillas</t>
  </si>
  <si>
    <t>Por verificar</t>
  </si>
  <si>
    <t>VEREDICTO</t>
  </si>
  <si>
    <t>Basta un NO para quedar fuera</t>
  </si>
  <si>
    <t>Sobre el STM32F411RE: es el micro del CATS Vega, el ordenador de vuelo oficial de EuRoC, así que lo uso como referencia de «lo mínimo que basta». Aquí se me cae por dos motivos, y el de fondo es el CAN. Eso no dice que sea mal micro, dice que mi arquitectura con bus entre bahías pide CAN. El CATS resuelve lo mismo de otra forma: pone un segundo micro, un STM32G0, para la radio y el GNSS.</t>
  </si>
  <si>
    <t>Los candidatos no los elegí a mano. Apliqué estos 16 umbrales a las 1.644 referencias del selector paramétrico de ST: quedaron 337, repartidas en diez series (F4, L4, F7, H7, H5, G4, U5, C5, U3, L5). De ahí bajo a lista corta con una regla declarada: UN representante por serie, el que tiene placa Nucleo, porque esa es la única condición de mi lista que el selector no sabe filtrar. Más dos controles que dejo caer a propósito: el ESP32-S3, que cae por familia y por encapsulado, y el STM32F411RE, que es el micro del CATS Vega y cae por CAN y por UART. Del F4 represento con el F446RE y no con el F405RG: el F405 no tiene Nucleo propia y además le falta QUADSPI, así que por mi propia regla el representante de la serie es el F446. Dos avisos honestos: el STM32U575ZI aparece en el catálogo con 0 timers, que es un hueco de la base de datos y no de la pieza, así que represento el U5 con el U5A5ZJ; y la placa de evaluación del C5A3ZG está por confirmar, que es lo único que podría eliminarlo.</t>
  </si>
  <si>
    <t>Paso 3 — De dónde salen los pesos</t>
  </si>
  <si>
    <t>El peso no lo pongo a ojo. Sale de dos preguntas: qué pasa en vuelo si me equivoco en este criterio (severidad) y si ese fallo se vería antes de volar (detectabilidad). Un criterio cuyo fallo se detecta en el banco pesa menos, porque tengo una segunda oportunidad de cazarlo. Es la lógica de un FMEA aplicada a la elección.</t>
  </si>
  <si>
    <t>Criterio</t>
  </si>
  <si>
    <t>Qué mide exactamente</t>
  </si>
  <si>
    <t>Qué pasa si me equivoco</t>
  </si>
  <si>
    <t>Severidad (1-5)</t>
  </si>
  <si>
    <t>No detectabilidad (1-5)</t>
  </si>
  <si>
    <t>Peso crudo</t>
  </si>
  <si>
    <t>Peso derivado (%)</t>
  </si>
  <si>
    <t>Peso final (%)</t>
  </si>
  <si>
    <t>Margen de cálculo del filtro</t>
  </si>
  <si>
    <t>% de CPU libre con el EKF corriendo a la frecuencia objetivo, medido en una Nucleo, no estimado.</t>
  </si>
  <si>
    <t>El filtro no cierra a tiempo, pierdo la estimación de actitud y no detecto el apogeo. Pierdo el cohete.</t>
  </si>
  <si>
    <t>Cálculo + Criterio propio</t>
  </si>
  <si>
    <t>Precisión numérica y marco de referencia</t>
  </si>
  <si>
    <t>FPU de doble precisión, o float con un marco local ENU justificado con el cálculo de resolución.</t>
  </si>
  <si>
    <t>Las covarianzas divergen en silencio. Le pasó a ArduPilot y se arregló repitiendo el cálculo en doble precisión.</t>
  </si>
  <si>
    <t>Fuente + Cálculo</t>
  </si>
  <si>
    <t>Margen de periféricos y patillas</t>
  </si>
  <si>
    <t>Buses y patillas libres POR ENCIMA del umbral, ya rutados en CubeMX.</t>
  </si>
  <si>
    <t>Rediseño de PCB o un sensor que se me cae del diseño. Me cuesta programa, no cohete.</t>
  </si>
  <si>
    <t>Arquitectura y ancho de banda del registro</t>
  </si>
  <si>
    <t>SDMMC/QSPI con DMA y memoria suficiente para la duración de misión de diseño.</t>
  </si>
  <si>
    <t>Me quedo sin datos a mitad de vuelo. Le pasó al altímetro de respaldo de USC a los 375 s de 754 s.</t>
  </si>
  <si>
    <t>Consumo durante la espera en rampa</t>
  </si>
  <si>
    <t>Consumo medio × 6 h frente a mi presupuesto de batería. La rampa dimensiona la batería, no el vuelo.</t>
  </si>
  <si>
    <t>La batería no llega al despegue o subo masa de más. Vuelo abortado.</t>
  </si>
  <si>
    <t>Funciones de robustez</t>
  </si>
  <si>
    <t>ECC en RAM/Flash, watchdog independiente con ventana, sistema de seguridad de reloj (CSS), detector de caída de tensión.</t>
  </si>
  <si>
    <t>Un reinicio o un bit alterado en vuelo sin nada que lo cace. No se reproduce en el banco.</t>
  </si>
  <si>
    <t>Continuidad con el equipo y ecosistema</t>
  </si>
  <si>
    <t>¿Lo vuela ya Faraday? ¿Reutilizo drivers? ¿Hay soporte HAL y ejemplos?</t>
  </si>
  <si>
    <t>Repito trabajo que el equipo ya tenía hecho y nadie sabe mantener mi placa.</t>
  </si>
  <si>
    <t>Riesgo de calendario</t>
  </si>
  <si>
    <t>Cuánto me cuesta arrancarlo: caché, MPU y DMA del M7 frente a un M4 que arranca directo desde CubeMX.</t>
  </si>
  <si>
    <t>No entrego a tiempo, o entrego algo superficial que no aguanta las preguntas.</t>
  </si>
  <si>
    <t>Coste y disponibilidad real</t>
  </si>
  <si>
    <t>Precio unitario, plazo de entrega y programa de longevidad.</t>
  </si>
  <si>
    <t>No me llega la pieza. La escasez de STM32H7 de 2021 es el precedente.</t>
  </si>
  <si>
    <t>Vuelo + Fuente</t>
  </si>
  <si>
    <t>TOTAL</t>
  </si>
  <si>
    <t>Escala de severidad que uso: 1 = molestia de proyecto · 2 = retrabajo · 3 = pierdo datos o rediseño la placa · 4 = vuelo abortado · 5 = pérdida del cohete.</t>
  </si>
  <si>
    <t>Escala de no detectabilidad: 1 = CubeMX me lo dice el primer día · 2 = se mide en el banco · 3 = solo aparece en un ensayo largo · 4 = solo en el perfil real de vuelo · 5 = no se reproduce en tierra.</t>
  </si>
  <si>
    <t>Por qué este método y no poner los pesos a ojo: me da una frase de defensa por cada peso. «La robustez pesa más que los periféricos porque un fallo de periféricos lo veo en CubeMX el primer día y un bit alterado en vuelo no lo ve nadie hasta que el cohete no abre el paracaídas.» Eso se sostiene; «me pareció más importante», no. Los números de severidad y no detectabilidad siguen siendo criterio propio.</t>
  </si>
  <si>
    <t>Paso 4 — Qué significa cada nota</t>
  </si>
  <si>
    <t>Defino esto ANTES de mirar a los candidatos. Si definiera la escala después, la estaría ajustando sin querer al que ya había elegido. Las anclas son medibles: nada de «bueno» o «suficiente».</t>
  </si>
  <si>
    <t>Nota 5</t>
  </si>
  <si>
    <t>Nota 3</t>
  </si>
  <si>
    <t>Nota 1</t>
  </si>
  <si>
    <t>De dónde sacas el dato</t>
  </si>
  <si>
    <t>El EKF ocupa &lt; 10 % de CPU a la frecuencia objetivo, medido con un contador de ciclos.</t>
  </si>
  <si>
    <t>Entre 25 % y 40 % de CPU.</t>
  </si>
  <si>
    <t>Más del 60 %, o no lo has medido.</t>
  </si>
  <si>
    <t>Contador DWT de ciclos en una placa Nucleo, con mi filtro real.</t>
  </si>
  <si>
    <t>FPU de doble precisión en hardware (Cortex-M7).</t>
  </si>
  <si>
    <t>Float, pero con marco local ENU y el cálculo de resolución hecho y documentado.</t>
  </si>
  <si>
    <t>Float en ECEF sin analizar la escala.</t>
  </si>
  <si>
    <t>Ficha del núcleo (ST AN4044) y mi cálculo de resolución de la hoja Requisitos.</t>
  </si>
  <si>
    <t>≥ 2 buses libres de cada tipo después de rutarlo entero en CubeMX.</t>
  </si>
  <si>
    <t>1 bus libre de cada tipo.</t>
  </si>
  <si>
    <t>Sale justo, sin reserva.</t>
  </si>
  <si>
    <t>Mi proyecto de CubeMX con todos los sensores del Ej. 2 asignados.</t>
  </si>
  <si>
    <t>SDMMC de 4 bits con DMA y ≥ 4× la memoria calculada.</t>
  </si>
  <si>
    <t>QSPI con 2× de margen.</t>
  </si>
  <si>
    <t>Solo flash interna, sin margen sobre el cálculo.</t>
  </si>
  <si>
    <t>Ficha técnica y el requisito de memoria de la hoja Requisitos.</t>
  </si>
  <si>
    <t>≤ 50 % del presupuesto de batería de 6 h.</t>
  </si>
  <si>
    <t>Entre 50 % y 80 %.</t>
  </si>
  <si>
    <t>Más del 100 %: no llega al despegue.</t>
  </si>
  <si>
    <t>Corriente por MHz de la ficha × mi reloj, y después medido en el banco.</t>
  </si>
  <si>
    <t>ECC en RAM y Flash + watchdog independiente con ventana + CSS + detector de caída de tensión.</t>
  </si>
  <si>
    <t>Watchdog y CSS, sin ECC.</t>
  </si>
  <si>
    <t>Solo watchdog básico.</t>
  </si>
  <si>
    <t>Ficha técnica y ST AN5342 (ECC).</t>
  </si>
  <si>
    <t>Familia que Faraday ya vuela: drivers y experiencia reutilizables.</t>
  </si>
  <si>
    <t>Misma familia, subfamilia distinta.</t>
  </si>
  <si>
    <t>Familia nueva para el equipo.</t>
  </si>
  <si>
    <t>Pendiente de confirmarlo con Víctor o con María. Que el equipo trabaja con STM32 lo dice el propio enunciado.</t>
  </si>
  <si>
    <t>Arranca desde CubeMX sin tocar caché ni MPU.</t>
  </si>
  <si>
    <t>Necesita ajustes conocidos y documentados.</t>
  </si>
  <si>
    <t>Caché, DMA y MPU por resolver, con una semana por delante.</t>
  </si>
  <si>
    <t>Mi experiencia montando el proyecto base esta semana.</t>
  </si>
  <si>
    <t>&lt; 10 €, stock inmediato, longevidad garantizada más allá de 2030.</t>
  </si>
  <si>
    <t>&lt; 25 €, plazo de semanas.</t>
  </si>
  <si>
    <t>&gt; 40 € o plazo desconocido.</t>
  </si>
  <si>
    <t>Distribuidor (Mouser, Farnell, DigiKey) y la tabla de longevidad de ST.</t>
  </si>
  <si>
    <t>Las notas 2 y 4 son interpolación. Si dudo entre dos me quedo con la baja y anoto por qué: una nota prudente con motivo vale más que una generosa sin él.</t>
  </si>
  <si>
    <t>La trampa que me pueden buscar: no puntúo con los MHz de la portada de la ficha. «480 MHz» no es un criterio; «me deja el 92 % de la CPU libre con mi filtro a 200 Hz» sí lo es. La primera cifra la ha escrito el fabricante, la segunda la mido yo.</t>
  </si>
  <si>
    <t>Paso 5 — La matriz ponderada</t>
  </si>
  <si>
    <t>Solo puntúo a los que han pasado el filtro de umbrales. Notas de 1 a 5 según las anclas de la hoja Escala, que definí antes de mirar las fichas. La puntuación final está normalizada de 0 a 100 para que se lea fácil.</t>
  </si>
  <si>
    <t>Peso (%)</t>
  </si>
  <si>
    <t>Suma ponderada (0-100)</t>
  </si>
  <si>
    <t>¿Pasa el filtro de umbrales?</t>
  </si>
  <si>
    <t>PUNTUACIÓN FINAL</t>
  </si>
  <si>
    <t>Ranking</t>
  </si>
  <si>
    <t>Ganador</t>
  </si>
  <si>
    <t>Margen sobre el segundo</t>
  </si>
  <si>
    <t>Cómo redacto la decisión: «Los candidatos salen de aplicar mis 16 umbrales a las 1.644 referencias del catálogo de ST: quedaron 337 en diez series, y bajé a diez candidatos con una regla declarada, uno por serie. Gana el STM32H743ZI con 86,2/100, pero el STM32H563ZI queda a 3,8 puntos y el STM32U5A5ZJ a 6,7: por mi propio criterio, menos de 5 puntos es un empate técnico. Lo que separa al H743 es un solo criterio, la FPU de doble precisión, que vale el 23,8 %. Si trabajo en marco local ENU con float, que es lo que tengo calculado en la hoja Requisitos, ese criterio se neutraliza y el H563 gana en consumo, en temperatura y en riesgo de calendario. Mi desempate declarado es el marco de referencia, y es una decisión de software, no de catálogo.»</t>
  </si>
  <si>
    <t>Por qué estas notas (resumen; el detalle de cada ancla está en la hoja Escala)</t>
  </si>
  <si>
    <t>Los diez van sobrados: 16,2 Mciclos/s son entre el 3,4 % de un H743 a 480 MHz y el 20 % de un L476 a 80 MHz. Todos por debajo del 25 % del ancla del 3. Les pongo 4 y no 5 a todos porque es cálculo, no medida en placa. Nota igual para los diez, así que este criterio no decide: es justo la conclusión que quiero enseñar, los MHz no distinguen entre ellos.</t>
  </si>
  <si>
    <t>Solo 56 de las 337 referencias que pasan mi filtro tienen FPU de doble precisión, y están únicamente en las series H7 y F7. El H743 y el F767 se llevan el 5; los otros ocho se quedan en 3, que es el ancla de float con marco local ENU y el cálculo de resolución hecho. Este es el criterio que decide.</t>
  </si>
  <si>
    <t>Casi todos se quedan con 3 SPI frente a los 3 que pido: margen cero. Los que además solo tienen 1 CAN o 2 I2C bajan a 1. Los tres de LQFP144 con 6 SPI (F767, H743, H563) se llevan un 4, y no un 5 porque todavía no los he rutado enteros en CubeMX.</t>
  </si>
  <si>
    <t>Nota 5 a los que tienen interfaz dedicada y SD/MMC además de la memoria externa. Bajan a 4 el G474, el U5A5 y el C5A3, que tienen QUADSPI u Octo SPI pero no SD/MMC, así que me dejan una sola vía para los 18,4 MB.</t>
  </si>
  <si>
    <t>Con los µA/MHz en modo run del catálogo de ST, cada uno a su reloj máximo: U385 1,3 mA · U5A5 4,2 · L476 8 · L552 y C5A3 unos 11 · H563 28 · F446 30 · F767 91 · H743 130. Aquí el H743 es el peor con diferencia y las series de bajo consumo barren. ST no publica el consumo del G474RE en el selector, así que le pongo 3 aplicando mi propia regla de quedarme con la nota baja cuando dudo, y anoto que está pendiente de sacarlo de la ficha.</t>
  </si>
  <si>
    <t>Según AN5342 de ST, solo las series H5, H7, U3, U5 y C5 llevan ECC en memorias internas. H743, H563 y U5A5 se llevan el 5: ECC en Flash y en RAM, más watchdog con ventana, CSS y detector de caída de tensión. El G474, el U385 y el C5A3 se quedan en 4 porque su ECC cubre la Flash y solo una parte de la SRAM. F446, F767, L476 y L552 no llevan ECC: watchdog y CSS, que es el ancla del 3. Que el F767 sea Cortex-M7 no le da ECC, y esa es justo la confusión que quiero evitar.</t>
  </si>
  <si>
    <t>Pongo 3 a los diez porque todavía no sé qué vuela hoy Faraday. Con la misma nota este criterio no decide, y en cuanto lo confirme con Víctor lo actualizo y vuelvo a mirar la sensibilidad.</t>
  </si>
  <si>
    <t>Los M4 arrancan desde CubeMX sin tocar nada, nota 5. Los M33 maduros (H563, L552, U5A5) van a 4. El U385 baja a 3 y el C5A3 a 2 por ser series de 2025 y 2026 con menos ejemplos y menos rodaje. El H743 y el F767 se quedan en 2: caché, MPU y coherencia de DMA por resolver, y con una semana por delante eso es riesgo real.</t>
  </si>
  <si>
    <t>Orden aproximado: U385 y G474 en torno a 5-7 €, F446 y L476 sobre 8-9 €, L552 y H563 sobre 10-12 €, F767 y U5A5 sobre 15 €, H743 sobre 18 € con el precedente de escasez de 2021, y el C5A3 con plazo todavía incierto por ser serie nueva. Pendiente de confirmar en Mouser o Farnell el día que lo pida.</t>
  </si>
  <si>
    <t>Lo que me queda por convertir en dato medido</t>
  </si>
  <si>
    <t>Las notas de cálculo y de consumo son estimaciones a partir de la ficha y del catálogo paramétrico. En cuanto tenga la Nucleo, mido los ciclos del filtro con el contador DWT y la corriente media en rampa, y sustituyo las dos. Con menos de 5 puntos entre el primero y el segundo, esas dos medidas pueden cambiar el orden.</t>
  </si>
  <si>
    <t>Paso 6 — ¿La decisión depende de mis pesos?</t>
  </si>
  <si>
    <t>Este es el paso que convierte mi opinión en una decisión defendible. Recalculo todo con los pesos igualados y quitando un criterio cada vez. Si gana el mismo en todos los escenarios, los pesos dan igual y la elección se sostiene sola.</t>
  </si>
  <si>
    <t>Escenario</t>
  </si>
  <si>
    <t>Pesos del análisis (base)</t>
  </si>
  <si>
    <t>Todos los pesos iguales</t>
  </si>
  <si>
    <t>Sin el criterio: Margen de cálculo del filtro</t>
  </si>
  <si>
    <t>Sin el criterio: Precisión numérica y marco de referencia</t>
  </si>
  <si>
    <t>Sin el criterio: Margen de periféricos y patillas</t>
  </si>
  <si>
    <t>Sin el criterio: Arquitectura y ancho de banda del registro</t>
  </si>
  <si>
    <t>Sin el criterio: Consumo durante la espera en rampa</t>
  </si>
  <si>
    <t>Sin el criterio: Funciones de robustez</t>
  </si>
  <si>
    <t>Sin el criterio: Continuidad con el equipo y ecosistema</t>
  </si>
  <si>
    <t>Sin el criterio: Riesgo de calendario</t>
  </si>
  <si>
    <t>Sin el criterio: Coste y disponibilidad real</t>
  </si>
  <si>
    <t>VEREDICTO DE ROBUSTEZ</t>
  </si>
  <si>
    <t>Cómo cuento esto en la entrevista. Me sale sensible, y no lo escondo porque es la respuesta buena. Con diez candidatos, uno por serie, gana el H743 con mis pesos, pero el H563 queda a 3,8 puntos y el U5A5 a 6,7: el podio es un empate técnico a tres. Lo que sostiene al H743 es un único criterio, la FPU de doble precisión, que vale el 23,8 %. Si igualo todos los pesos gana el H563. Mi lectura es esta: el H743 gana si el filtro va en doble precisión; si va en marco local ENU con float, que es lo que tengo calculado, ese criterio se neutraliza y ganan las series que llevan ECC con mucho menos consumo. El desempate que declaro es el marco de referencia, y es una decisión de software, no de catálogo. Esa es la conversación que quiero tener, no la de los MHz.</t>
  </si>
  <si>
    <t>Lo que me queda por cerrar: (1) medir los ciclos del filtro en una Nucleo con el contador DWT; (2) medir la corriente media en rampa, y sacar de la ficha la del G474RE, que ST no publica; (3) confirmar qué micro vuela hoy Faraday; (4) decidir si el filtro va en doble precisión o en ENU con float, porque es lo que desempata; (5) confirmar si hay placa Nucleo del C5A3ZG, que es el único umbral que le queda abierto.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</si>
</sst>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font>
      <sz val="11"/>
      <color theme="1"/>
      <name val="Calibri"/>
      <scheme val="minor"/>
    </font>
    <font>
      <b/>
      <sz val="14"/>
      <color rgb="FF1F3864"/>
      <name val="Arial"/>
    </font>
    <font>
      <sz val="9"/>
      <color rgb="FF595959"/>
      <name val="Arial"/>
    </font>
    <font>
      <b/>
      <sz val="11"/>
      <color rgb="FFFFFFFF"/>
      <name val="Arial"/>
    </font>
    <font>
      <b/>
      <sz val="11"/>
      <color rgb="FF1F3864"/>
      <name val="Arial"/>
    </font>
    <font>
      <b/>
      <sz val="10"/>
      <color theme="1"/>
      <name val="Arial"/>
    </font>
    <font>
      <sz val="10"/>
      <color theme="1"/>
      <name val="Arial"/>
    </font>
    <font>
      <sz val="10"/>
      <color rgb="FF0000FF"/>
      <name val="Arial"/>
    </font>
    <font>
      <sz val="10"/>
      <color rgb="FF000000"/>
      <name val="Arial"/>
    </font>
    <font>
      <sz val="10"/>
      <color rgb="FF008000"/>
      <name val="Arial"/>
    </font>
    <font>
      <sz val="11"/>
      <color theme="1"/>
      <name val="&quot;Google Sans Text&quot;"/>
    </font>
    <font>
      <b/>
      <sz val="10"/>
      <color rgb="FFC00000"/>
      <name val="Arial"/>
    </font>
    <font>
      <sz val="10"/>
      <color rgb="FF1F3864"/>
      <name val="Arial"/>
    </font>
  </fonts>
  <fills count="7">
    <fill>
      <patternFill patternType="none"/>
    </fill>
    <fill>
      <patternFill patternType="gray125"/>
    </fill>
    <fill>
      <patternFill patternType="solid">
        <fgColor rgb="FF1F3864"/>
        <bgColor rgb="FF1F3864"/>
      </patternFill>
    </fill>
    <fill>
      <patternFill patternType="solid">
        <fgColor rgb="FFD9E2F3"/>
        <bgColor rgb="FFD9E2F3"/>
      </patternFill>
    </fill>
    <fill>
      <patternFill patternType="solid">
        <fgColor rgb="FFFFFF00"/>
        <bgColor rgb="FFFFFF00"/>
      </patternFill>
    </fill>
    <fill>
      <patternFill patternType="solid">
        <fgColor rgb="FFFFF2CC"/>
        <bgColor rgb="FFFFF2CC"/>
      </patternFill>
    </fill>
    <fill>
      <patternFill patternType="solid">
        <fgColor rgb="FFE2EFDA"/>
        <bgColor rgb="FFE2EFDA"/>
      </patternFill>
    </fill>
  </fills>
  <borders count="6">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s>
  <cellStyleXfs count="1">
    <xf numFmtId="0" fontId="0" fillId="0" borderId="0"/>
  </cellStyleXfs>
  <cellXfs count="56">
    <xf numFmtId="0" fontId="0" fillId="0" borderId="0" xfId="0"/>
    <xf numFmtId="0" fontId="1" fillId="0" borderId="0" xfId="0" applyFont="1"/>
    <xf numFmtId="0" fontId="3" fillId="2" borderId="1" xfId="0" applyFont="1" applyFill="1" applyBorder="1" applyAlignment="1">
      <alignment horizontal="center" vertical="center" wrapText="1"/>
    </xf>
    <xf numFmtId="0" fontId="5" fillId="0" borderId="0" xfId="0" applyFont="1"/>
    <xf numFmtId="0" fontId="6" fillId="0" borderId="0" xfId="0" applyFont="1" applyAlignment="1">
      <alignment vertical="top" wrapText="1"/>
    </xf>
    <xf numFmtId="0" fontId="6" fillId="0" borderId="1" xfId="0" applyFont="1" applyBorder="1" applyAlignment="1">
      <alignment vertical="top" wrapText="1"/>
    </xf>
    <xf numFmtId="0" fontId="6" fillId="0" borderId="0" xfId="0" applyFont="1"/>
    <xf numFmtId="0" fontId="5" fillId="0" borderId="1" xfId="0" applyFont="1" applyBorder="1" applyAlignment="1">
      <alignment vertical="top"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2" fillId="0" borderId="0" xfId="0" applyFont="1"/>
    <xf numFmtId="0" fontId="5" fillId="0" borderId="1" xfId="0" applyFont="1" applyBorder="1" applyAlignment="1">
      <alignment horizontal="center" vertical="center" wrapText="1"/>
    </xf>
    <xf numFmtId="0" fontId="5" fillId="4" borderId="2" xfId="0" applyFont="1" applyFill="1" applyBorder="1"/>
    <xf numFmtId="0" fontId="5" fillId="5" borderId="2" xfId="0" applyFont="1" applyFill="1" applyBorder="1"/>
    <xf numFmtId="164" fontId="8" fillId="0" borderId="1" xfId="0" applyNumberFormat="1" applyFont="1" applyBorder="1" applyAlignment="1">
      <alignment horizontal="center" vertical="center"/>
    </xf>
    <xf numFmtId="0" fontId="7" fillId="0" borderId="0" xfId="0" applyFont="1"/>
    <xf numFmtId="0" fontId="2" fillId="0" borderId="1" xfId="0" applyFont="1" applyBorder="1" applyAlignment="1">
      <alignment vertical="top" wrapText="1"/>
    </xf>
    <xf numFmtId="0" fontId="8" fillId="0" borderId="0" xfId="0" applyFont="1"/>
    <xf numFmtId="0" fontId="9" fillId="0" borderId="0" xfId="0" applyFont="1"/>
    <xf numFmtId="0" fontId="10" fillId="0" borderId="0" xfId="0" applyFont="1"/>
    <xf numFmtId="4" fontId="8" fillId="0" borderId="1" xfId="0" applyNumberFormat="1" applyFont="1" applyBorder="1" applyAlignment="1">
      <alignment horizontal="center" vertical="center"/>
    </xf>
    <xf numFmtId="164" fontId="5" fillId="6" borderId="1" xfId="0" applyNumberFormat="1" applyFont="1" applyFill="1" applyBorder="1" applyAlignment="1">
      <alignment horizontal="center" vertical="center"/>
    </xf>
    <xf numFmtId="0" fontId="8" fillId="0" borderId="1" xfId="0" applyFont="1" applyBorder="1" applyAlignment="1">
      <alignment horizontal="center" vertical="center"/>
    </xf>
    <xf numFmtId="0" fontId="5" fillId="6" borderId="1" xfId="0" applyFont="1" applyFill="1" applyBorder="1" applyAlignment="1">
      <alignment horizontal="center" vertical="center"/>
    </xf>
    <xf numFmtId="0" fontId="5" fillId="0" borderId="0" xfId="0" applyFont="1" applyAlignment="1">
      <alignment vertical="top" wrapText="1"/>
    </xf>
    <xf numFmtId="0" fontId="7" fillId="0" borderId="1" xfId="0" applyFont="1" applyBorder="1" applyAlignment="1">
      <alignment vertical="top"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9" fillId="0" borderId="1" xfId="0" applyFont="1" applyBorder="1" applyAlignment="1">
      <alignment vertical="top" wrapText="1"/>
    </xf>
    <xf numFmtId="165" fontId="8" fillId="0" borderId="1" xfId="0" applyNumberFormat="1" applyFont="1" applyBorder="1" applyAlignment="1">
      <alignment horizontal="center" vertical="center"/>
    </xf>
    <xf numFmtId="165" fontId="7" fillId="4" borderId="1" xfId="0" applyNumberFormat="1" applyFont="1" applyFill="1" applyBorder="1" applyAlignment="1">
      <alignment horizontal="center" vertical="center"/>
    </xf>
    <xf numFmtId="0" fontId="5" fillId="0" borderId="0" xfId="0" applyFont="1" applyAlignment="1">
      <alignment horizontal="center" vertical="center"/>
    </xf>
    <xf numFmtId="165" fontId="5" fillId="0" borderId="0" xfId="0" applyNumberFormat="1" applyFont="1" applyAlignment="1">
      <alignment horizontal="center" vertical="center"/>
    </xf>
    <xf numFmtId="165" fontId="5" fillId="6" borderId="2" xfId="0" applyNumberFormat="1" applyFont="1" applyFill="1" applyBorder="1" applyAlignment="1">
      <alignment horizontal="center" vertical="center"/>
    </xf>
    <xf numFmtId="165" fontId="9" fillId="0" borderId="1" xfId="0" applyNumberFormat="1"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165" fontId="5" fillId="6" borderId="1" xfId="0" applyNumberFormat="1" applyFont="1" applyFill="1" applyBorder="1" applyAlignment="1">
      <alignment horizontal="center" vertical="center"/>
    </xf>
    <xf numFmtId="0" fontId="4" fillId="3" borderId="2" xfId="0" applyFont="1" applyFill="1" applyBorder="1"/>
    <xf numFmtId="165" fontId="8" fillId="0" borderId="1" xfId="0" applyNumberFormat="1" applyFont="1" applyBorder="1"/>
    <xf numFmtId="0" fontId="6" fillId="0" borderId="0" xfId="0" applyFont="1" applyAlignment="1">
      <alignment vertical="top" wrapText="1"/>
    </xf>
    <xf numFmtId="0" fontId="0" fillId="0" borderId="0" xfId="0"/>
    <xf numFmtId="0" fontId="11" fillId="0" borderId="0" xfId="0" applyFont="1" applyAlignment="1">
      <alignment vertical="top" wrapText="1"/>
    </xf>
    <xf numFmtId="0" fontId="4" fillId="3" borderId="2" xfId="0" applyFont="1" applyFill="1" applyBorder="1"/>
    <xf numFmtId="0" fontId="2" fillId="0" borderId="0" xfId="0" applyFont="1" applyAlignment="1">
      <alignment vertical="top" wrapText="1"/>
    </xf>
    <xf numFmtId="0" fontId="6" fillId="0" borderId="1" xfId="0" applyFont="1" applyBorder="1" applyAlignment="1">
      <alignment vertical="top" wrapText="1"/>
    </xf>
    <xf numFmtId="0" fontId="0" fillId="0" borderId="3" xfId="0" applyBorder="1"/>
    <xf numFmtId="0" fontId="0" fillId="0" borderId="4" xfId="0" applyBorder="1"/>
    <xf numFmtId="0" fontId="4" fillId="3" borderId="2" xfId="0" applyFont="1" applyFill="1" applyBorder="1" applyAlignment="1">
      <alignment vertical="top" wrapText="1"/>
    </xf>
    <xf numFmtId="0" fontId="12" fillId="0" borderId="0" xfId="0" applyFont="1" applyAlignment="1">
      <alignment vertical="top" wrapText="1"/>
    </xf>
    <xf numFmtId="0" fontId="3" fillId="2" borderId="2" xfId="0" applyFont="1" applyFill="1" applyBorder="1" applyAlignment="1">
      <alignment horizontal="center" vertical="center" wrapText="1"/>
    </xf>
    <xf numFmtId="0" fontId="5" fillId="6"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5" xfId="0" applyBorder="1"/>
    <xf numFmtId="0" fontId="5" fillId="6" borderId="1" xfId="0" applyFont="1" applyFill="1" applyBorder="1"/>
    <xf numFmtId="0" fontId="5"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showGridLines="0" workbookViewId="0">
      <pane ySplit="4" topLeftCell="A5" activePane="bottomLeft" state="frozen"/>
      <selection pane="bottomLeft" activeCell="B3" sqref="B3"/>
    </sheetView>
  </sheetViews>
  <sheetFormatPr baseColWidth="10" defaultColWidth="14.44140625" defaultRowHeight="15" customHeight="1"/>
  <cols>
    <col min="1" max="1" width="20" customWidth="1"/>
    <col min="2" max="2" width="34" customWidth="1"/>
    <col min="3" max="8" width="22" customWidth="1"/>
    <col min="9" max="26" width="8.6640625" customWidth="1"/>
  </cols>
  <sheetData>
    <row r="1" spans="1:8" ht="17.399999999999999">
      <c r="A1" s="1" t="s">
        <v>0</v>
      </c>
    </row>
    <row r="2" spans="1:8" ht="30" customHeight="1">
      <c r="A2" s="44" t="s">
        <v>1</v>
      </c>
      <c r="B2" s="41"/>
      <c r="C2" s="41"/>
      <c r="D2" s="41"/>
      <c r="E2" s="41"/>
      <c r="F2" s="41"/>
      <c r="G2" s="41"/>
      <c r="H2" s="41"/>
    </row>
    <row r="4" spans="1:8" ht="14.4">
      <c r="A4" s="43" t="s">
        <v>2</v>
      </c>
      <c r="B4" s="41"/>
      <c r="C4" s="41"/>
      <c r="D4" s="41"/>
    </row>
    <row r="5" spans="1:8" ht="27.75" customHeight="1">
      <c r="A5" s="3" t="s">
        <v>3</v>
      </c>
      <c r="B5" s="40" t="s">
        <v>4</v>
      </c>
      <c r="C5" s="41"/>
      <c r="D5" s="41"/>
      <c r="E5" s="41"/>
      <c r="F5" s="41"/>
      <c r="G5" s="41"/>
      <c r="H5" s="41"/>
    </row>
    <row r="6" spans="1:8" ht="27.75" customHeight="1">
      <c r="A6" s="3" t="s">
        <v>5</v>
      </c>
      <c r="B6" s="40" t="s">
        <v>6</v>
      </c>
      <c r="C6" s="41"/>
      <c r="D6" s="41"/>
      <c r="E6" s="41"/>
      <c r="F6" s="41"/>
      <c r="G6" s="41"/>
      <c r="H6" s="41"/>
    </row>
    <row r="7" spans="1:8" ht="27.75" customHeight="1">
      <c r="A7" s="3" t="s">
        <v>7</v>
      </c>
      <c r="B7" s="40" t="s">
        <v>8</v>
      </c>
      <c r="C7" s="41"/>
      <c r="D7" s="41"/>
      <c r="E7" s="41"/>
      <c r="F7" s="41"/>
      <c r="G7" s="41"/>
      <c r="H7" s="41"/>
    </row>
    <row r="8" spans="1:8" ht="27.75" customHeight="1">
      <c r="A8" s="3" t="s">
        <v>9</v>
      </c>
      <c r="B8" s="40" t="s">
        <v>10</v>
      </c>
      <c r="C8" s="41"/>
      <c r="D8" s="41"/>
      <c r="E8" s="41"/>
      <c r="F8" s="41"/>
      <c r="G8" s="41"/>
      <c r="H8" s="41"/>
    </row>
    <row r="9" spans="1:8" ht="27.75" customHeight="1">
      <c r="A9" s="3" t="s">
        <v>11</v>
      </c>
      <c r="B9" s="40" t="s">
        <v>12</v>
      </c>
      <c r="C9" s="41"/>
      <c r="D9" s="41"/>
      <c r="E9" s="41"/>
      <c r="F9" s="41"/>
      <c r="G9" s="41"/>
      <c r="H9" s="41"/>
    </row>
    <row r="10" spans="1:8" ht="27.75" customHeight="1">
      <c r="A10" s="3" t="s">
        <v>13</v>
      </c>
      <c r="B10" s="40" t="s">
        <v>14</v>
      </c>
      <c r="C10" s="41"/>
      <c r="D10" s="41"/>
      <c r="E10" s="41"/>
      <c r="F10" s="41"/>
      <c r="G10" s="41"/>
      <c r="H10" s="41"/>
    </row>
    <row r="12" spans="1:8" ht="14.4">
      <c r="A12" s="43" t="s">
        <v>15</v>
      </c>
      <c r="B12" s="41"/>
      <c r="C12" s="41"/>
      <c r="D12" s="41"/>
    </row>
    <row r="13" spans="1:8" ht="15" customHeight="1">
      <c r="A13" s="12" t="s">
        <v>16</v>
      </c>
      <c r="B13" s="40" t="s">
        <v>17</v>
      </c>
      <c r="C13" s="41"/>
      <c r="D13" s="41"/>
      <c r="E13" s="41"/>
      <c r="F13" s="41"/>
      <c r="G13" s="41"/>
      <c r="H13" s="41"/>
    </row>
    <row r="14" spans="1:8" ht="15" customHeight="1">
      <c r="A14" s="13" t="s">
        <v>18</v>
      </c>
      <c r="B14" s="40" t="s">
        <v>19</v>
      </c>
      <c r="C14" s="41"/>
      <c r="D14" s="41"/>
      <c r="E14" s="41"/>
      <c r="F14" s="41"/>
      <c r="G14" s="41"/>
      <c r="H14" s="41"/>
    </row>
    <row r="15" spans="1:8" ht="15" customHeight="1">
      <c r="A15" s="15" t="s">
        <v>20</v>
      </c>
      <c r="B15" s="40" t="s">
        <v>21</v>
      </c>
      <c r="C15" s="41"/>
      <c r="D15" s="41"/>
      <c r="E15" s="41"/>
      <c r="F15" s="41"/>
      <c r="G15" s="41"/>
      <c r="H15" s="41"/>
    </row>
    <row r="16" spans="1:8" ht="15" customHeight="1">
      <c r="A16" s="17" t="s">
        <v>22</v>
      </c>
      <c r="B16" s="40" t="s">
        <v>23</v>
      </c>
      <c r="C16" s="41"/>
      <c r="D16" s="41"/>
      <c r="E16" s="41"/>
      <c r="F16" s="41"/>
      <c r="G16" s="41"/>
      <c r="H16" s="41"/>
    </row>
    <row r="17" spans="1:8" ht="15" customHeight="1">
      <c r="A17" s="18" t="s">
        <v>24</v>
      </c>
      <c r="B17" s="40" t="s">
        <v>25</v>
      </c>
      <c r="C17" s="41"/>
      <c r="D17" s="41"/>
      <c r="E17" s="41"/>
      <c r="F17" s="41"/>
      <c r="G17" s="41"/>
      <c r="H17" s="41"/>
    </row>
    <row r="19" spans="1:8" ht="14.4">
      <c r="A19" s="43" t="s">
        <v>26</v>
      </c>
      <c r="B19" s="41"/>
      <c r="C19" s="41"/>
      <c r="D19" s="41"/>
    </row>
    <row r="20" spans="1:8" ht="14.4">
      <c r="A20" s="2" t="s">
        <v>27</v>
      </c>
      <c r="B20" s="2" t="s">
        <v>28</v>
      </c>
      <c r="C20" s="2" t="s">
        <v>29</v>
      </c>
      <c r="D20" s="2" t="s">
        <v>30</v>
      </c>
    </row>
    <row r="21" spans="1:8" ht="30" customHeight="1">
      <c r="A21" s="7" t="s">
        <v>31</v>
      </c>
      <c r="B21" s="5" t="s">
        <v>32</v>
      </c>
      <c r="C21" s="5" t="s">
        <v>33</v>
      </c>
      <c r="D21" s="5" t="s">
        <v>34</v>
      </c>
    </row>
    <row r="22" spans="1:8" ht="30" customHeight="1">
      <c r="A22" s="7" t="s">
        <v>35</v>
      </c>
      <c r="B22" s="5" t="s">
        <v>36</v>
      </c>
      <c r="C22" s="5" t="s">
        <v>37</v>
      </c>
      <c r="D22" s="5" t="s">
        <v>38</v>
      </c>
    </row>
    <row r="23" spans="1:8" ht="30" customHeight="1">
      <c r="A23" s="7" t="s">
        <v>39</v>
      </c>
      <c r="B23" s="5" t="s">
        <v>40</v>
      </c>
      <c r="C23" s="5" t="s">
        <v>41</v>
      </c>
      <c r="D23" s="5" t="s">
        <v>42</v>
      </c>
    </row>
    <row r="24" spans="1:8" ht="30" customHeight="1">
      <c r="A24" s="7" t="s">
        <v>43</v>
      </c>
      <c r="B24" s="5" t="s">
        <v>44</v>
      </c>
      <c r="C24" s="5" t="s">
        <v>45</v>
      </c>
      <c r="D24" s="5" t="s">
        <v>46</v>
      </c>
    </row>
    <row r="25" spans="1:8" ht="15.75" customHeight="1"/>
    <row r="26" spans="1:8" ht="30" customHeight="1">
      <c r="A26" s="42" t="s">
        <v>47</v>
      </c>
      <c r="B26" s="41"/>
      <c r="C26" s="41"/>
      <c r="D26" s="41"/>
      <c r="E26" s="41"/>
      <c r="F26" s="41"/>
      <c r="G26" s="41"/>
      <c r="H26" s="41"/>
    </row>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4:D4"/>
    <mergeCell ref="A2:H2"/>
    <mergeCell ref="B6:H6"/>
    <mergeCell ref="B16:H16"/>
    <mergeCell ref="B15:H15"/>
    <mergeCell ref="B7:H7"/>
    <mergeCell ref="B10:H10"/>
    <mergeCell ref="B5:H5"/>
    <mergeCell ref="B14:H14"/>
    <mergeCell ref="B8:H8"/>
    <mergeCell ref="A26:H26"/>
    <mergeCell ref="B17:H17"/>
    <mergeCell ref="B9:H9"/>
    <mergeCell ref="B13:H13"/>
    <mergeCell ref="A12:D12"/>
    <mergeCell ref="A19:D19"/>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showGridLines="0" workbookViewId="0">
      <pane ySplit="4" topLeftCell="A5" activePane="bottomLeft" state="frozen"/>
      <selection pane="bottomLeft" activeCell="B6" sqref="B6"/>
    </sheetView>
  </sheetViews>
  <sheetFormatPr baseColWidth="10" defaultColWidth="14.44140625" defaultRowHeight="15" customHeight="1"/>
  <cols>
    <col min="1" max="1" width="40" customWidth="1"/>
    <col min="2" max="2" width="34" customWidth="1"/>
    <col min="3" max="3" width="8" customWidth="1"/>
    <col min="4" max="4" width="54" customWidth="1"/>
    <col min="5" max="5" width="13" customWidth="1"/>
    <col min="6" max="6" width="12" customWidth="1"/>
    <col min="7" max="7" width="11" customWidth="1"/>
    <col min="8" max="8" width="14" customWidth="1"/>
    <col min="9" max="9" width="17" customWidth="1"/>
    <col min="10" max="26" width="8.6640625" customWidth="1"/>
  </cols>
  <sheetData>
    <row r="1" spans="1:10" ht="17.399999999999999">
      <c r="A1" s="1" t="s">
        <v>48</v>
      </c>
    </row>
    <row r="2" spans="1:10" ht="30" customHeight="1">
      <c r="A2" s="44" t="s">
        <v>49</v>
      </c>
      <c r="B2" s="41"/>
      <c r="C2" s="41"/>
      <c r="D2" s="41"/>
      <c r="E2" s="41"/>
      <c r="F2" s="41"/>
      <c r="G2" s="41"/>
      <c r="H2" s="41"/>
      <c r="I2" s="41"/>
    </row>
    <row r="4" spans="1:10" ht="39.75" customHeight="1">
      <c r="A4" s="2" t="s">
        <v>50</v>
      </c>
      <c r="B4" s="2" t="s">
        <v>51</v>
      </c>
      <c r="C4" s="2" t="s">
        <v>52</v>
      </c>
      <c r="D4" s="2" t="s">
        <v>53</v>
      </c>
      <c r="E4" s="2" t="s">
        <v>54</v>
      </c>
      <c r="F4" s="2" t="s">
        <v>55</v>
      </c>
      <c r="G4" s="2" t="s">
        <v>56</v>
      </c>
      <c r="H4" s="2" t="s">
        <v>57</v>
      </c>
      <c r="I4" s="2" t="s">
        <v>27</v>
      </c>
    </row>
    <row r="5" spans="1:10" ht="18" customHeight="1">
      <c r="A5" s="48" t="s">
        <v>58</v>
      </c>
      <c r="B5" s="41"/>
      <c r="C5" s="41"/>
      <c r="D5" s="41"/>
      <c r="E5" s="41"/>
      <c r="F5" s="41"/>
      <c r="G5" s="41"/>
      <c r="H5" s="41"/>
      <c r="I5" s="41"/>
    </row>
    <row r="6" spans="1:10" ht="45.75" customHeight="1">
      <c r="A6" s="5" t="s">
        <v>59</v>
      </c>
      <c r="B6" s="7" t="s">
        <v>60</v>
      </c>
      <c r="C6" s="9">
        <v>1</v>
      </c>
      <c r="D6" s="5" t="s">
        <v>61</v>
      </c>
      <c r="E6" s="11" t="s">
        <v>62</v>
      </c>
      <c r="F6" s="9">
        <v>14</v>
      </c>
      <c r="G6" s="9">
        <v>1000</v>
      </c>
      <c r="H6" s="14">
        <f t="shared" ref="H6:H12" si="0">IF(OR(F6=0,G6=0),0,C6*F6*8*G6/1000)</f>
        <v>112</v>
      </c>
      <c r="I6" s="16" t="s">
        <v>43</v>
      </c>
    </row>
    <row r="7" spans="1:10" ht="45.75" customHeight="1">
      <c r="A7" s="5" t="s">
        <v>63</v>
      </c>
      <c r="B7" s="7" t="s">
        <v>64</v>
      </c>
      <c r="C7" s="9">
        <v>1</v>
      </c>
      <c r="D7" s="5" t="s">
        <v>65</v>
      </c>
      <c r="E7" s="11" t="s">
        <v>62</v>
      </c>
      <c r="F7" s="9">
        <v>6</v>
      </c>
      <c r="G7" s="9">
        <v>1000</v>
      </c>
      <c r="H7" s="14">
        <f t="shared" si="0"/>
        <v>48</v>
      </c>
      <c r="I7" s="16" t="s">
        <v>31</v>
      </c>
      <c r="J7" s="19"/>
    </row>
    <row r="8" spans="1:10" ht="45.75" customHeight="1">
      <c r="A8" s="5" t="s">
        <v>66</v>
      </c>
      <c r="B8" s="7" t="s">
        <v>67</v>
      </c>
      <c r="C8" s="9">
        <v>1</v>
      </c>
      <c r="D8" s="5" t="s">
        <v>68</v>
      </c>
      <c r="E8" s="11" t="s">
        <v>69</v>
      </c>
      <c r="F8" s="9">
        <v>2</v>
      </c>
      <c r="G8" s="9">
        <v>1000</v>
      </c>
      <c r="H8" s="14">
        <f t="shared" si="0"/>
        <v>16</v>
      </c>
      <c r="I8" s="16" t="s">
        <v>31</v>
      </c>
    </row>
    <row r="9" spans="1:10" ht="45.75" customHeight="1">
      <c r="A9" s="5" t="s">
        <v>70</v>
      </c>
      <c r="B9" s="7" t="s">
        <v>71</v>
      </c>
      <c r="C9" s="9">
        <v>1</v>
      </c>
      <c r="D9" s="5" t="s">
        <v>72</v>
      </c>
      <c r="E9" s="11" t="s">
        <v>62</v>
      </c>
      <c r="F9" s="9">
        <v>9</v>
      </c>
      <c r="G9" s="9">
        <v>100</v>
      </c>
      <c r="H9" s="14">
        <f t="shared" si="0"/>
        <v>7.2</v>
      </c>
      <c r="I9" s="16" t="s">
        <v>35</v>
      </c>
    </row>
    <row r="10" spans="1:10" ht="45.75" customHeight="1">
      <c r="A10" s="5" t="s">
        <v>73</v>
      </c>
      <c r="B10" s="7" t="s">
        <v>74</v>
      </c>
      <c r="C10" s="9">
        <v>2</v>
      </c>
      <c r="D10" s="5" t="s">
        <v>75</v>
      </c>
      <c r="E10" s="11" t="s">
        <v>76</v>
      </c>
      <c r="F10" s="9">
        <v>6</v>
      </c>
      <c r="G10" s="9">
        <v>100</v>
      </c>
      <c r="H10" s="14">
        <f t="shared" si="0"/>
        <v>9.6</v>
      </c>
      <c r="I10" s="16" t="s">
        <v>31</v>
      </c>
    </row>
    <row r="11" spans="1:10" ht="45.75" customHeight="1">
      <c r="A11" s="5" t="s">
        <v>77</v>
      </c>
      <c r="B11" s="7" t="s">
        <v>78</v>
      </c>
      <c r="C11" s="9">
        <v>0</v>
      </c>
      <c r="D11" s="5" t="s">
        <v>79</v>
      </c>
      <c r="E11" s="11" t="s">
        <v>80</v>
      </c>
      <c r="F11" s="9">
        <v>0</v>
      </c>
      <c r="G11" s="9">
        <v>0</v>
      </c>
      <c r="H11" s="14">
        <f t="shared" si="0"/>
        <v>0</v>
      </c>
      <c r="I11" s="16" t="s">
        <v>43</v>
      </c>
    </row>
    <row r="12" spans="1:10" ht="45.75" customHeight="1">
      <c r="A12" s="5" t="s">
        <v>81</v>
      </c>
      <c r="B12" s="7" t="s">
        <v>82</v>
      </c>
      <c r="C12" s="9">
        <v>1</v>
      </c>
      <c r="D12" s="5" t="s">
        <v>83</v>
      </c>
      <c r="E12" s="11" t="s">
        <v>84</v>
      </c>
      <c r="F12" s="9">
        <v>100</v>
      </c>
      <c r="G12" s="9">
        <v>10</v>
      </c>
      <c r="H12" s="14">
        <f t="shared" si="0"/>
        <v>8</v>
      </c>
      <c r="I12" s="16" t="s">
        <v>31</v>
      </c>
    </row>
    <row r="13" spans="1:10" ht="18" customHeight="1">
      <c r="A13" s="48" t="s">
        <v>85</v>
      </c>
      <c r="B13" s="41"/>
      <c r="C13" s="41"/>
      <c r="D13" s="41"/>
      <c r="E13" s="41"/>
      <c r="F13" s="41"/>
      <c r="G13" s="41"/>
      <c r="H13" s="41"/>
      <c r="I13" s="41"/>
    </row>
    <row r="14" spans="1:10" ht="45.75" customHeight="1">
      <c r="A14" s="5" t="s">
        <v>86</v>
      </c>
      <c r="B14" s="7" t="s">
        <v>87</v>
      </c>
      <c r="C14" s="9">
        <v>4</v>
      </c>
      <c r="D14" s="5" t="s">
        <v>88</v>
      </c>
      <c r="E14" s="11" t="s">
        <v>69</v>
      </c>
      <c r="F14" s="9">
        <v>2</v>
      </c>
      <c r="G14" s="9">
        <v>10</v>
      </c>
      <c r="H14" s="14">
        <f>IF(OR(F14=0,G14=0),0,C14*F14*8*G14/1000)</f>
        <v>0.64</v>
      </c>
      <c r="I14" s="16" t="s">
        <v>31</v>
      </c>
    </row>
    <row r="15" spans="1:10" ht="45.75" customHeight="1">
      <c r="A15" s="5" t="s">
        <v>89</v>
      </c>
      <c r="B15" s="7" t="s">
        <v>90</v>
      </c>
      <c r="C15" s="9">
        <v>2</v>
      </c>
      <c r="D15" s="5" t="s">
        <v>91</v>
      </c>
      <c r="E15" s="11" t="s">
        <v>92</v>
      </c>
      <c r="F15" s="9">
        <v>0</v>
      </c>
      <c r="G15" s="9">
        <v>0</v>
      </c>
      <c r="H15" s="14">
        <f>IF(OR(F15=0,G15=0),0,C15*F15*8*G15/1000)</f>
        <v>0</v>
      </c>
      <c r="I15" s="16" t="s">
        <v>35</v>
      </c>
    </row>
    <row r="16" spans="1:10" ht="45.75" customHeight="1">
      <c r="A16" s="5" t="s">
        <v>93</v>
      </c>
      <c r="B16" s="7" t="s">
        <v>94</v>
      </c>
      <c r="C16" s="9">
        <v>1</v>
      </c>
      <c r="D16" s="5" t="s">
        <v>95</v>
      </c>
      <c r="E16" s="11" t="s">
        <v>92</v>
      </c>
      <c r="F16" s="9">
        <v>0</v>
      </c>
      <c r="G16" s="9">
        <v>0</v>
      </c>
      <c r="H16" s="14">
        <f>IF(OR(F16=0,G16=0),0,C16*F16*8*G16/1000)</f>
        <v>0</v>
      </c>
      <c r="I16" s="16" t="s">
        <v>31</v>
      </c>
    </row>
    <row r="17" spans="1:9" ht="45.75" customHeight="1">
      <c r="A17" s="5" t="s">
        <v>96</v>
      </c>
      <c r="B17" s="7" t="s">
        <v>97</v>
      </c>
      <c r="C17" s="9">
        <v>1</v>
      </c>
      <c r="D17" s="5" t="s">
        <v>98</v>
      </c>
      <c r="E17" s="11" t="s">
        <v>69</v>
      </c>
      <c r="F17" s="9">
        <v>2</v>
      </c>
      <c r="G17" s="9">
        <v>100</v>
      </c>
      <c r="H17" s="14">
        <f>IF(OR(F17=0,G17=0),0,C17*F17*8*G17/1000)</f>
        <v>1.6</v>
      </c>
      <c r="I17" s="16" t="s">
        <v>43</v>
      </c>
    </row>
    <row r="18" spans="1:9" ht="45.75" customHeight="1">
      <c r="A18" s="5" t="s">
        <v>99</v>
      </c>
      <c r="B18" s="7" t="s">
        <v>100</v>
      </c>
      <c r="C18" s="9">
        <v>1</v>
      </c>
      <c r="D18" s="5" t="s">
        <v>101</v>
      </c>
      <c r="E18" s="11" t="s">
        <v>69</v>
      </c>
      <c r="F18" s="9">
        <v>2</v>
      </c>
      <c r="G18" s="9">
        <v>100</v>
      </c>
      <c r="H18" s="14">
        <f>IF(OR(F18=0,G18=0),0,C18*F18*8*G18/1000)</f>
        <v>1.6</v>
      </c>
      <c r="I18" s="16" t="s">
        <v>43</v>
      </c>
    </row>
    <row r="19" spans="1:9" ht="18" customHeight="1">
      <c r="A19" s="48" t="s">
        <v>102</v>
      </c>
      <c r="B19" s="41"/>
      <c r="C19" s="41"/>
      <c r="D19" s="41"/>
      <c r="E19" s="41"/>
      <c r="F19" s="41"/>
      <c r="G19" s="41"/>
      <c r="H19" s="41"/>
      <c r="I19" s="41"/>
    </row>
    <row r="20" spans="1:9" ht="45.75" customHeight="1">
      <c r="A20" s="5" t="s">
        <v>103</v>
      </c>
      <c r="B20" s="7" t="s">
        <v>104</v>
      </c>
      <c r="C20" s="9">
        <v>2</v>
      </c>
      <c r="D20" s="5" t="s">
        <v>105</v>
      </c>
      <c r="E20" s="11" t="s">
        <v>76</v>
      </c>
      <c r="F20" s="9">
        <v>4</v>
      </c>
      <c r="G20" s="9">
        <v>10</v>
      </c>
      <c r="H20" s="14">
        <f>IF(OR(F20=0,G20=0),0,C20*F20*8*G20/1000)</f>
        <v>0.64</v>
      </c>
      <c r="I20" s="16" t="s">
        <v>31</v>
      </c>
    </row>
    <row r="21" spans="1:9" ht="45.75" customHeight="1">
      <c r="A21" s="5" t="s">
        <v>106</v>
      </c>
      <c r="B21" s="7" t="s">
        <v>107</v>
      </c>
      <c r="C21" s="9">
        <v>2</v>
      </c>
      <c r="D21" s="5" t="s">
        <v>108</v>
      </c>
      <c r="E21" s="11" t="s">
        <v>69</v>
      </c>
      <c r="F21" s="9">
        <v>2</v>
      </c>
      <c r="G21" s="9">
        <v>1</v>
      </c>
      <c r="H21" s="14">
        <f>IF(OR(F21=0,G21=0),0,C21*F21*8*G21/1000)</f>
        <v>3.2000000000000001E-2</v>
      </c>
      <c r="I21" s="16" t="s">
        <v>43</v>
      </c>
    </row>
    <row r="22" spans="1:9" ht="45.75" customHeight="1">
      <c r="A22" s="5" t="s">
        <v>109</v>
      </c>
      <c r="B22" s="7" t="s">
        <v>110</v>
      </c>
      <c r="C22" s="9">
        <v>2</v>
      </c>
      <c r="D22" s="5" t="s">
        <v>111</v>
      </c>
      <c r="E22" s="11" t="s">
        <v>69</v>
      </c>
      <c r="F22" s="9">
        <v>2</v>
      </c>
      <c r="G22" s="9">
        <v>1</v>
      </c>
      <c r="H22" s="14">
        <f>IF(OR(F22=0,G22=0),0,C22*F22*8*G22/1000)</f>
        <v>3.2000000000000001E-2</v>
      </c>
      <c r="I22" s="16" t="s">
        <v>43</v>
      </c>
    </row>
    <row r="23" spans="1:9" ht="45.75" customHeight="1">
      <c r="A23" s="5" t="s">
        <v>112</v>
      </c>
      <c r="B23" s="7" t="s">
        <v>113</v>
      </c>
      <c r="C23" s="9">
        <v>1</v>
      </c>
      <c r="D23" s="5" t="s">
        <v>114</v>
      </c>
      <c r="E23" s="11" t="s">
        <v>76</v>
      </c>
      <c r="F23" s="9">
        <v>2</v>
      </c>
      <c r="G23" s="9">
        <v>1</v>
      </c>
      <c r="H23" s="14">
        <f>IF(OR(F23=0,G23=0),0,C23*F23*8*G23/1000)</f>
        <v>1.6E-2</v>
      </c>
      <c r="I23" s="16" t="s">
        <v>43</v>
      </c>
    </row>
    <row r="24" spans="1:9" ht="18" customHeight="1">
      <c r="A24" s="48" t="s">
        <v>115</v>
      </c>
      <c r="B24" s="41"/>
      <c r="C24" s="41"/>
      <c r="D24" s="41"/>
      <c r="E24" s="41"/>
      <c r="F24" s="41"/>
      <c r="G24" s="41"/>
      <c r="H24" s="41"/>
      <c r="I24" s="41"/>
    </row>
    <row r="25" spans="1:9" ht="45.75" customHeight="1">
      <c r="A25" s="5" t="s">
        <v>116</v>
      </c>
      <c r="B25" s="7" t="s">
        <v>117</v>
      </c>
      <c r="C25" s="9">
        <v>1</v>
      </c>
      <c r="D25" s="5" t="s">
        <v>118</v>
      </c>
      <c r="E25" s="11" t="s">
        <v>119</v>
      </c>
      <c r="F25" s="9">
        <v>64</v>
      </c>
      <c r="G25" s="9">
        <v>200</v>
      </c>
      <c r="H25" s="14">
        <f t="shared" ref="H25:H31" si="1">IF(OR(F25=0,G25=0),0,C25*F25*8*G25/1000)</f>
        <v>102.4</v>
      </c>
      <c r="I25" s="16" t="s">
        <v>120</v>
      </c>
    </row>
    <row r="26" spans="1:9" ht="45.75" customHeight="1">
      <c r="A26" s="5" t="s">
        <v>121</v>
      </c>
      <c r="B26" s="7" t="s">
        <v>122</v>
      </c>
      <c r="C26" s="9">
        <v>1</v>
      </c>
      <c r="D26" s="5" t="s">
        <v>123</v>
      </c>
      <c r="E26" s="11" t="s">
        <v>84</v>
      </c>
      <c r="F26" s="9">
        <v>64</v>
      </c>
      <c r="G26" s="9">
        <v>10</v>
      </c>
      <c r="H26" s="14">
        <f t="shared" si="1"/>
        <v>5.12</v>
      </c>
      <c r="I26" s="16" t="s">
        <v>31</v>
      </c>
    </row>
    <row r="27" spans="1:9" ht="45.75" customHeight="1">
      <c r="A27" s="5" t="s">
        <v>124</v>
      </c>
      <c r="B27" s="7" t="s">
        <v>125</v>
      </c>
      <c r="C27" s="9">
        <v>1</v>
      </c>
      <c r="D27" s="5" t="s">
        <v>126</v>
      </c>
      <c r="E27" s="11" t="s">
        <v>84</v>
      </c>
      <c r="F27" s="9">
        <v>0</v>
      </c>
      <c r="G27" s="9">
        <v>0</v>
      </c>
      <c r="H27" s="14">
        <f t="shared" si="1"/>
        <v>0</v>
      </c>
      <c r="I27" s="16" t="s">
        <v>43</v>
      </c>
    </row>
    <row r="28" spans="1:9" ht="45.75" customHeight="1">
      <c r="A28" s="5" t="s">
        <v>127</v>
      </c>
      <c r="B28" s="7" t="s">
        <v>128</v>
      </c>
      <c r="C28" s="9">
        <v>1</v>
      </c>
      <c r="D28" s="5" t="s">
        <v>129</v>
      </c>
      <c r="E28" s="11" t="s">
        <v>130</v>
      </c>
      <c r="F28" s="9">
        <v>0</v>
      </c>
      <c r="G28" s="9">
        <v>0</v>
      </c>
      <c r="H28" s="14">
        <f t="shared" si="1"/>
        <v>0</v>
      </c>
      <c r="I28" s="16" t="s">
        <v>39</v>
      </c>
    </row>
    <row r="29" spans="1:9" ht="45.75" customHeight="1">
      <c r="A29" s="5" t="s">
        <v>131</v>
      </c>
      <c r="B29" s="7" t="s">
        <v>132</v>
      </c>
      <c r="C29" s="9">
        <v>1</v>
      </c>
      <c r="D29" s="5" t="s">
        <v>133</v>
      </c>
      <c r="E29" s="11" t="s">
        <v>134</v>
      </c>
      <c r="F29" s="9">
        <v>8</v>
      </c>
      <c r="G29" s="9">
        <v>100</v>
      </c>
      <c r="H29" s="14">
        <f t="shared" si="1"/>
        <v>6.4</v>
      </c>
      <c r="I29" s="16" t="s">
        <v>43</v>
      </c>
    </row>
    <row r="30" spans="1:9" ht="45.75" customHeight="1">
      <c r="A30" s="5" t="s">
        <v>135</v>
      </c>
      <c r="B30" s="7" t="s">
        <v>136</v>
      </c>
      <c r="C30" s="9">
        <v>1</v>
      </c>
      <c r="D30" s="5" t="s">
        <v>137</v>
      </c>
      <c r="E30" s="11" t="s">
        <v>138</v>
      </c>
      <c r="F30" s="9">
        <v>0</v>
      </c>
      <c r="G30" s="9">
        <v>0</v>
      </c>
      <c r="H30" s="14">
        <f t="shared" si="1"/>
        <v>0</v>
      </c>
      <c r="I30" s="16" t="s">
        <v>43</v>
      </c>
    </row>
    <row r="31" spans="1:9" ht="45.75" customHeight="1">
      <c r="A31" s="5" t="s">
        <v>139</v>
      </c>
      <c r="B31" s="7" t="s">
        <v>140</v>
      </c>
      <c r="C31" s="9">
        <v>1</v>
      </c>
      <c r="D31" s="5" t="s">
        <v>141</v>
      </c>
      <c r="E31" s="11" t="s">
        <v>138</v>
      </c>
      <c r="F31" s="9">
        <v>0</v>
      </c>
      <c r="G31" s="9">
        <v>0</v>
      </c>
      <c r="H31" s="14">
        <f t="shared" si="1"/>
        <v>0</v>
      </c>
      <c r="I31" s="16" t="s">
        <v>43</v>
      </c>
    </row>
    <row r="32" spans="1:9" ht="18" customHeight="1">
      <c r="A32" s="48" t="s">
        <v>142</v>
      </c>
      <c r="B32" s="41"/>
      <c r="C32" s="41"/>
      <c r="D32" s="41"/>
      <c r="E32" s="41"/>
      <c r="F32" s="41"/>
      <c r="G32" s="41"/>
      <c r="H32" s="41"/>
      <c r="I32" s="41"/>
    </row>
    <row r="33" spans="1:9" ht="45.75" customHeight="1">
      <c r="A33" s="5" t="s">
        <v>143</v>
      </c>
      <c r="B33" s="7" t="s">
        <v>144</v>
      </c>
      <c r="C33" s="9">
        <v>1</v>
      </c>
      <c r="D33" s="5" t="s">
        <v>145</v>
      </c>
      <c r="E33" s="11" t="s">
        <v>146</v>
      </c>
      <c r="F33" s="9">
        <v>0</v>
      </c>
      <c r="G33" s="9">
        <v>0</v>
      </c>
      <c r="H33" s="14">
        <f>IF(OR(F33=0,G33=0),0,C33*F33*8*G33/1000)</f>
        <v>0</v>
      </c>
      <c r="I33" s="16" t="s">
        <v>31</v>
      </c>
    </row>
    <row r="34" spans="1:9" ht="45.75" customHeight="1">
      <c r="A34" s="5" t="s">
        <v>147</v>
      </c>
      <c r="B34" s="7" t="s">
        <v>148</v>
      </c>
      <c r="C34" s="9">
        <v>1</v>
      </c>
      <c r="D34" s="5" t="s">
        <v>149</v>
      </c>
      <c r="E34" s="11" t="s">
        <v>146</v>
      </c>
      <c r="F34" s="9">
        <v>0</v>
      </c>
      <c r="G34" s="9">
        <v>0</v>
      </c>
      <c r="H34" s="14">
        <f>IF(OR(F34=0,G34=0),0,C34*F34*8*G34/1000)</f>
        <v>0</v>
      </c>
      <c r="I34" s="16" t="s">
        <v>43</v>
      </c>
    </row>
    <row r="35" spans="1:9" ht="15.75" customHeight="1"/>
    <row r="36" spans="1:9" ht="15.75" customHeight="1">
      <c r="A36" s="3" t="s">
        <v>150</v>
      </c>
      <c r="H36" s="21">
        <f>SUM(H6:H34)</f>
        <v>319.27999999999997</v>
      </c>
    </row>
    <row r="37" spans="1:9" ht="30" customHeight="1">
      <c r="A37" s="42" t="s">
        <v>151</v>
      </c>
      <c r="B37" s="41"/>
      <c r="C37" s="41"/>
      <c r="D37" s="41"/>
      <c r="E37" s="41"/>
      <c r="F37" s="41"/>
      <c r="G37" s="41"/>
      <c r="H37" s="41"/>
      <c r="I37" s="41"/>
    </row>
    <row r="38" spans="1:9" ht="15.75" customHeight="1"/>
    <row r="39" spans="1:9" ht="15.75" customHeight="1">
      <c r="A39" s="43" t="s">
        <v>152</v>
      </c>
      <c r="B39" s="41"/>
      <c r="C39" s="41"/>
      <c r="D39" s="41"/>
      <c r="E39" s="41"/>
      <c r="F39" s="41"/>
      <c r="G39" s="41"/>
      <c r="H39" s="41"/>
      <c r="I39" s="41"/>
    </row>
    <row r="40" spans="1:9" ht="30" customHeight="1">
      <c r="A40" s="2" t="s">
        <v>153</v>
      </c>
      <c r="B40" s="2" t="s">
        <v>154</v>
      </c>
      <c r="C40" s="2" t="s">
        <v>155</v>
      </c>
      <c r="D40" s="2" t="s">
        <v>156</v>
      </c>
      <c r="E40" s="2" t="s">
        <v>157</v>
      </c>
      <c r="F40" s="2" t="s">
        <v>158</v>
      </c>
    </row>
    <row r="41" spans="1:9" ht="45.75" customHeight="1">
      <c r="A41" s="7" t="s">
        <v>62</v>
      </c>
      <c r="B41" s="22">
        <f>SUMIF($E$6:$E$34,"SPI",$C$6:$C$34)</f>
        <v>3</v>
      </c>
      <c r="C41" s="8">
        <v>2</v>
      </c>
      <c r="D41" s="8">
        <v>1</v>
      </c>
      <c r="E41" s="23">
        <f t="shared" ref="E41:E49" si="2">C41+D41</f>
        <v>3</v>
      </c>
      <c r="F41" s="45" t="s">
        <v>159</v>
      </c>
      <c r="G41" s="46"/>
      <c r="H41" s="46"/>
      <c r="I41" s="47"/>
    </row>
    <row r="42" spans="1:9" ht="45.75" customHeight="1">
      <c r="A42" s="7" t="s">
        <v>160</v>
      </c>
      <c r="B42" s="22">
        <f>SUMIF($E$6:$E$34,"UART",$C$6:$C$34)</f>
        <v>3</v>
      </c>
      <c r="C42" s="8">
        <v>3</v>
      </c>
      <c r="D42" s="8">
        <v>1</v>
      </c>
      <c r="E42" s="23">
        <f t="shared" si="2"/>
        <v>4</v>
      </c>
      <c r="F42" s="45" t="s">
        <v>161</v>
      </c>
      <c r="G42" s="46"/>
      <c r="H42" s="46"/>
      <c r="I42" s="47"/>
    </row>
    <row r="43" spans="1:9" ht="45.75" customHeight="1">
      <c r="A43" s="7" t="s">
        <v>76</v>
      </c>
      <c r="B43" s="22">
        <f>SUMIF($E$6:$E$34,"I2C",$C$6:$C$34)</f>
        <v>5</v>
      </c>
      <c r="C43" s="8">
        <v>1</v>
      </c>
      <c r="D43" s="8">
        <v>1</v>
      </c>
      <c r="E43" s="23">
        <f t="shared" si="2"/>
        <v>2</v>
      </c>
      <c r="F43" s="45" t="s">
        <v>162</v>
      </c>
      <c r="G43" s="46"/>
      <c r="H43" s="46"/>
      <c r="I43" s="47"/>
    </row>
    <row r="44" spans="1:9" ht="45.75" customHeight="1">
      <c r="A44" s="7" t="s">
        <v>163</v>
      </c>
      <c r="B44" s="22">
        <f>SUMIF($E$6:$E$34,"CAN",$C$6:$C$34)</f>
        <v>1</v>
      </c>
      <c r="C44" s="8">
        <v>1</v>
      </c>
      <c r="D44" s="8">
        <v>0</v>
      </c>
      <c r="E44" s="23">
        <f t="shared" si="2"/>
        <v>1</v>
      </c>
      <c r="F44" s="45" t="s">
        <v>164</v>
      </c>
      <c r="G44" s="46"/>
      <c r="H44" s="46"/>
      <c r="I44" s="47"/>
    </row>
    <row r="45" spans="1:9" ht="45.75" customHeight="1">
      <c r="A45" s="7" t="s">
        <v>165</v>
      </c>
      <c r="B45" s="22">
        <f>SUMIF($E$6:$E$34,"ADC",$C$6:$C$34)</f>
        <v>11</v>
      </c>
      <c r="C45" s="8">
        <v>11</v>
      </c>
      <c r="D45" s="8">
        <v>1</v>
      </c>
      <c r="E45" s="23">
        <f t="shared" si="2"/>
        <v>12</v>
      </c>
      <c r="F45" s="45" t="s">
        <v>166</v>
      </c>
      <c r="G45" s="46"/>
      <c r="H45" s="46"/>
      <c r="I45" s="47"/>
    </row>
    <row r="46" spans="1:9" ht="45.75" customHeight="1">
      <c r="A46" s="7" t="s">
        <v>167</v>
      </c>
      <c r="B46" s="22">
        <f>SUMIF($E$6:$E$34,"PWM",$C$6:$C$34)</f>
        <v>2</v>
      </c>
      <c r="C46" s="8">
        <v>2</v>
      </c>
      <c r="D46" s="8">
        <v>1</v>
      </c>
      <c r="E46" s="23">
        <f t="shared" si="2"/>
        <v>3</v>
      </c>
      <c r="F46" s="45" t="s">
        <v>168</v>
      </c>
      <c r="G46" s="46"/>
      <c r="H46" s="46"/>
      <c r="I46" s="47"/>
    </row>
    <row r="47" spans="1:9" ht="45.75" customHeight="1">
      <c r="A47" s="7" t="s">
        <v>169</v>
      </c>
      <c r="B47" s="22">
        <f>SUMIF($E$6:$E$34,"GPIO",$C$6:$C$34)</f>
        <v>3</v>
      </c>
      <c r="C47" s="8">
        <v>9</v>
      </c>
      <c r="D47" s="8">
        <v>2</v>
      </c>
      <c r="E47" s="23">
        <f t="shared" si="2"/>
        <v>11</v>
      </c>
      <c r="F47" s="45" t="s">
        <v>170</v>
      </c>
      <c r="G47" s="46"/>
      <c r="H47" s="46"/>
      <c r="I47" s="47"/>
    </row>
    <row r="48" spans="1:9" ht="45.75" customHeight="1">
      <c r="A48" s="7" t="s">
        <v>171</v>
      </c>
      <c r="B48" s="22">
        <f>SUMIF($E$6:$E$34,"QSPI/SDMMC",$C$6:$C$34)</f>
        <v>1</v>
      </c>
      <c r="C48" s="8">
        <v>1</v>
      </c>
      <c r="D48" s="8">
        <v>0</v>
      </c>
      <c r="E48" s="23">
        <f t="shared" si="2"/>
        <v>1</v>
      </c>
      <c r="F48" s="45" t="s">
        <v>172</v>
      </c>
      <c r="G48" s="46"/>
      <c r="H48" s="46"/>
      <c r="I48" s="47"/>
    </row>
    <row r="49" spans="1:9" ht="45.75" customHeight="1">
      <c r="A49" s="7" t="s">
        <v>173</v>
      </c>
      <c r="B49" s="22">
        <f>SUMIF($E$6:$E$34,"Timer",$C$6:$C$34)</f>
        <v>1</v>
      </c>
      <c r="C49" s="8">
        <v>1</v>
      </c>
      <c r="D49" s="8">
        <v>0</v>
      </c>
      <c r="E49" s="23">
        <f t="shared" si="2"/>
        <v>1</v>
      </c>
      <c r="F49" s="45" t="s">
        <v>174</v>
      </c>
      <c r="G49" s="46"/>
      <c r="H49" s="46"/>
      <c r="I49" s="47"/>
    </row>
    <row r="50" spans="1:9" ht="15.75" customHeight="1"/>
    <row r="51" spans="1:9" ht="45.75" customHeight="1">
      <c r="A51" s="49" t="s">
        <v>175</v>
      </c>
      <c r="B51" s="41"/>
      <c r="C51" s="41"/>
      <c r="D51" s="41"/>
      <c r="E51" s="41"/>
      <c r="F51" s="41"/>
      <c r="G51" s="41"/>
      <c r="H51" s="41"/>
      <c r="I51" s="41"/>
    </row>
    <row r="52" spans="1:9" ht="15.75" customHeight="1"/>
    <row r="53" spans="1:9" ht="31.5" customHeight="1">
      <c r="A53" s="42" t="s">
        <v>176</v>
      </c>
      <c r="B53" s="41"/>
      <c r="C53" s="41"/>
      <c r="D53" s="41"/>
      <c r="E53" s="41"/>
      <c r="F53" s="41"/>
      <c r="G53" s="41"/>
      <c r="H53" s="41"/>
      <c r="I53" s="41"/>
    </row>
    <row r="54" spans="1:9" ht="15.75" customHeight="1"/>
    <row r="55" spans="1:9" ht="15.75" customHeight="1"/>
    <row r="56" spans="1:9" ht="15.75" customHeight="1"/>
    <row r="57" spans="1:9" ht="15.75" customHeight="1"/>
    <row r="58" spans="1:9" ht="15.75" customHeight="1"/>
    <row r="59" spans="1:9" ht="15.75" customHeight="1"/>
    <row r="60" spans="1:9" ht="15.75" customHeight="1"/>
    <row r="61" spans="1:9" ht="15.75" customHeight="1"/>
    <row r="62" spans="1:9" ht="15.75" customHeight="1"/>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53:I53"/>
    <mergeCell ref="A19:I19"/>
    <mergeCell ref="A13:I13"/>
    <mergeCell ref="A39:I39"/>
    <mergeCell ref="F45:I45"/>
    <mergeCell ref="A24:I24"/>
    <mergeCell ref="F42:I42"/>
    <mergeCell ref="F41:I41"/>
    <mergeCell ref="A51:I51"/>
    <mergeCell ref="F47:I47"/>
    <mergeCell ref="F46:I46"/>
    <mergeCell ref="A37:I37"/>
    <mergeCell ref="F43:I43"/>
    <mergeCell ref="F48:I48"/>
    <mergeCell ref="F49:I49"/>
    <mergeCell ref="A2:I2"/>
    <mergeCell ref="A5:I5"/>
    <mergeCell ref="A32:I32"/>
    <mergeCell ref="F44:I44"/>
  </mergeCells>
  <dataValidations count="1">
    <dataValidation type="list" allowBlank="1" showErrorMessage="1" sqref="I6:I12 I14:I18 I20:I23 I25:I31 I33:I34" xr:uid="{00000000-0002-0000-0100-000000000000}">
      <formula1>"Criterio propio,Fuente,Vuelo,Cálculo"</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showGridLines="0" workbookViewId="0">
      <pane ySplit="4" topLeftCell="A34" activePane="bottomLeft" state="frozen"/>
      <selection pane="bottomLeft" activeCell="B6" sqref="B6"/>
    </sheetView>
  </sheetViews>
  <sheetFormatPr baseColWidth="10" defaultColWidth="14.44140625" defaultRowHeight="15" customHeight="1"/>
  <cols>
    <col min="1" max="1" width="44" customWidth="1"/>
    <col min="2" max="2" width="14" customWidth="1"/>
    <col min="3" max="3" width="12" customWidth="1"/>
    <col min="4" max="4" width="62" customWidth="1"/>
    <col min="5" max="5" width="18" customWidth="1"/>
    <col min="6" max="26" width="8.6640625" customWidth="1"/>
  </cols>
  <sheetData>
    <row r="1" spans="1:6" ht="17.399999999999999">
      <c r="A1" s="1" t="s">
        <v>177</v>
      </c>
    </row>
    <row r="2" spans="1:6" ht="30" customHeight="1">
      <c r="A2" s="44" t="s">
        <v>178</v>
      </c>
      <c r="B2" s="41"/>
      <c r="C2" s="41"/>
      <c r="D2" s="41"/>
      <c r="E2" s="41"/>
      <c r="F2" s="41"/>
    </row>
    <row r="4" spans="1:6" ht="14.4">
      <c r="A4" s="43" t="s">
        <v>179</v>
      </c>
      <c r="B4" s="41"/>
      <c r="C4" s="41"/>
      <c r="D4" s="41"/>
      <c r="E4" s="41"/>
      <c r="F4" s="41"/>
    </row>
    <row r="5" spans="1:6" ht="14.4">
      <c r="A5" s="2" t="s">
        <v>180</v>
      </c>
      <c r="B5" s="2" t="s">
        <v>181</v>
      </c>
      <c r="C5" s="2" t="s">
        <v>182</v>
      </c>
      <c r="D5" s="2" t="s">
        <v>183</v>
      </c>
      <c r="E5" s="2" t="s">
        <v>27</v>
      </c>
    </row>
    <row r="6" spans="1:6" ht="25.5" customHeight="1">
      <c r="A6" s="6" t="s">
        <v>184</v>
      </c>
      <c r="B6" s="8">
        <v>754</v>
      </c>
      <c r="C6" s="6" t="s">
        <v>185</v>
      </c>
      <c r="D6" s="4" t="s">
        <v>186</v>
      </c>
      <c r="E6" s="10" t="s">
        <v>35</v>
      </c>
    </row>
    <row r="7" spans="1:6" ht="25.5" customHeight="1">
      <c r="A7" s="6" t="s">
        <v>187</v>
      </c>
      <c r="B7" s="8">
        <v>1</v>
      </c>
      <c r="C7" s="6" t="s">
        <v>188</v>
      </c>
      <c r="D7" s="4" t="s">
        <v>189</v>
      </c>
      <c r="E7" s="10" t="s">
        <v>43</v>
      </c>
    </row>
    <row r="8" spans="1:6" ht="25.5" customHeight="1">
      <c r="A8" s="6" t="s">
        <v>190</v>
      </c>
      <c r="B8" s="8">
        <v>6</v>
      </c>
      <c r="C8" s="6" t="s">
        <v>191</v>
      </c>
      <c r="D8" s="4" t="s">
        <v>192</v>
      </c>
      <c r="E8" s="10" t="s">
        <v>31</v>
      </c>
    </row>
    <row r="9" spans="1:6" ht="25.5" customHeight="1">
      <c r="A9" s="6" t="s">
        <v>193</v>
      </c>
      <c r="B9" s="8">
        <v>15</v>
      </c>
      <c r="C9" s="6" t="s">
        <v>194</v>
      </c>
      <c r="D9" s="4" t="s">
        <v>195</v>
      </c>
      <c r="E9" s="10" t="s">
        <v>35</v>
      </c>
    </row>
    <row r="10" spans="1:6" ht="25.5" customHeight="1">
      <c r="A10" s="6" t="s">
        <v>196</v>
      </c>
      <c r="B10" s="8">
        <v>200</v>
      </c>
      <c r="C10" s="6" t="s">
        <v>197</v>
      </c>
      <c r="D10" s="4" t="s">
        <v>198</v>
      </c>
      <c r="E10" s="10" t="s">
        <v>43</v>
      </c>
    </row>
    <row r="11" spans="1:6" ht="25.5" customHeight="1">
      <c r="A11" s="6" t="s">
        <v>199</v>
      </c>
      <c r="B11" s="8">
        <v>6</v>
      </c>
      <c r="C11" s="6" t="s">
        <v>200</v>
      </c>
      <c r="D11" s="4" t="s">
        <v>201</v>
      </c>
      <c r="E11" s="10" t="s">
        <v>43</v>
      </c>
    </row>
    <row r="12" spans="1:6" ht="25.5" customHeight="1">
      <c r="A12" s="6" t="s">
        <v>202</v>
      </c>
      <c r="B12" s="8">
        <v>4</v>
      </c>
      <c r="C12" s="6" t="s">
        <v>203</v>
      </c>
      <c r="D12" s="4" t="s">
        <v>204</v>
      </c>
      <c r="E12" s="10" t="s">
        <v>43</v>
      </c>
    </row>
    <row r="13" spans="1:6" ht="25.5" customHeight="1">
      <c r="A13" s="6" t="s">
        <v>205</v>
      </c>
      <c r="B13" s="8">
        <v>64</v>
      </c>
      <c r="C13" s="6" t="s">
        <v>206</v>
      </c>
      <c r="D13" s="4" t="s">
        <v>207</v>
      </c>
      <c r="E13" s="10" t="s">
        <v>43</v>
      </c>
    </row>
    <row r="14" spans="1:6" ht="25.5" customHeight="1">
      <c r="A14" s="6" t="s">
        <v>208</v>
      </c>
      <c r="B14" s="8">
        <v>200</v>
      </c>
      <c r="C14" s="6" t="s">
        <v>197</v>
      </c>
      <c r="D14" s="4" t="s">
        <v>209</v>
      </c>
      <c r="E14" s="10" t="s">
        <v>43</v>
      </c>
    </row>
    <row r="15" spans="1:6" ht="25.5" customHeight="1">
      <c r="A15" s="6" t="s">
        <v>210</v>
      </c>
      <c r="B15" s="8">
        <v>6400000</v>
      </c>
      <c r="C15" s="6" t="s">
        <v>211</v>
      </c>
      <c r="D15" s="4" t="s">
        <v>212</v>
      </c>
      <c r="E15" s="10" t="s">
        <v>39</v>
      </c>
    </row>
    <row r="17" spans="1:6" ht="14.4">
      <c r="A17" s="43" t="s">
        <v>213</v>
      </c>
      <c r="B17" s="41"/>
      <c r="C17" s="41"/>
      <c r="D17" s="41"/>
      <c r="E17" s="41"/>
      <c r="F17" s="41"/>
    </row>
    <row r="18" spans="1:6" ht="14.4">
      <c r="A18" s="2" t="s">
        <v>214</v>
      </c>
      <c r="B18" s="2" t="s">
        <v>181</v>
      </c>
      <c r="C18" s="2" t="s">
        <v>182</v>
      </c>
      <c r="D18" s="2" t="s">
        <v>215</v>
      </c>
      <c r="E18" s="2" t="s">
        <v>27</v>
      </c>
    </row>
    <row r="19" spans="1:6" ht="31.5" customHeight="1">
      <c r="A19" s="6" t="s">
        <v>216</v>
      </c>
      <c r="B19" s="20">
        <f>B6*(1+B7)</f>
        <v>1508</v>
      </c>
      <c r="C19" s="6" t="s">
        <v>185</v>
      </c>
      <c r="D19" s="4" t="s">
        <v>217</v>
      </c>
      <c r="E19" s="10" t="s">
        <v>39</v>
      </c>
    </row>
    <row r="20" spans="1:6" ht="31.5" customHeight="1">
      <c r="A20" s="6" t="s">
        <v>218</v>
      </c>
      <c r="B20" s="20">
        <f>B13*B14*B19/1048576</f>
        <v>18.408203125</v>
      </c>
      <c r="C20" s="6" t="s">
        <v>219</v>
      </c>
      <c r="D20" s="4" t="s">
        <v>220</v>
      </c>
      <c r="E20" s="10" t="s">
        <v>221</v>
      </c>
    </row>
    <row r="21" spans="1:6" ht="31.5" customHeight="1">
      <c r="A21" s="6" t="s">
        <v>222</v>
      </c>
      <c r="B21" s="20">
        <f>B11*B9^3</f>
        <v>20250</v>
      </c>
      <c r="C21" s="6" t="s">
        <v>223</v>
      </c>
      <c r="D21" s="4" t="s">
        <v>224</v>
      </c>
      <c r="E21" s="10" t="s">
        <v>39</v>
      </c>
    </row>
    <row r="22" spans="1:6" ht="31.5" customHeight="1">
      <c r="A22" s="6" t="s">
        <v>225</v>
      </c>
      <c r="B22" s="20">
        <f>B21*B10/1000000</f>
        <v>4.05</v>
      </c>
      <c r="C22" s="6" t="s">
        <v>226</v>
      </c>
      <c r="D22" s="4" t="s">
        <v>227</v>
      </c>
      <c r="E22" s="10" t="s">
        <v>39</v>
      </c>
    </row>
    <row r="23" spans="1:6" ht="31.5" customHeight="1">
      <c r="A23" s="6" t="s">
        <v>228</v>
      </c>
      <c r="B23" s="20">
        <f>B22*B12</f>
        <v>16.2</v>
      </c>
      <c r="C23" s="6" t="s">
        <v>229</v>
      </c>
      <c r="D23" s="4" t="s">
        <v>230</v>
      </c>
      <c r="E23" s="10" t="s">
        <v>39</v>
      </c>
    </row>
    <row r="24" spans="1:6" ht="31.5" customHeight="1">
      <c r="A24" s="6" t="s">
        <v>231</v>
      </c>
      <c r="B24" s="20">
        <f>2^(INT(LOG(B15,2))-23)</f>
        <v>0.5</v>
      </c>
      <c r="C24" s="6" t="s">
        <v>211</v>
      </c>
      <c r="D24" s="4" t="s">
        <v>232</v>
      </c>
      <c r="E24" s="10" t="s">
        <v>39</v>
      </c>
    </row>
    <row r="25" spans="1:6" ht="31.5" customHeight="1">
      <c r="A25" s="6" t="s">
        <v>233</v>
      </c>
      <c r="B25" s="20">
        <f>2^32/1000000/60</f>
        <v>71.582788266666668</v>
      </c>
      <c r="C25" s="6" t="s">
        <v>234</v>
      </c>
      <c r="D25" s="4" t="s">
        <v>235</v>
      </c>
      <c r="E25" s="10" t="s">
        <v>39</v>
      </c>
    </row>
    <row r="26" spans="1:6" ht="31.5" customHeight="1">
      <c r="A26" s="6" t="s">
        <v>236</v>
      </c>
      <c r="B26" s="20">
        <f>B8*60/B25</f>
        <v>5.029141902923584</v>
      </c>
      <c r="C26" s="6" t="s">
        <v>237</v>
      </c>
      <c r="D26" s="4" t="s">
        <v>238</v>
      </c>
      <c r="E26" s="10" t="s">
        <v>39</v>
      </c>
    </row>
    <row r="27" spans="1:6" ht="31.5" customHeight="1">
      <c r="A27" s="6" t="s">
        <v>239</v>
      </c>
      <c r="B27" s="20" t="s">
        <v>240</v>
      </c>
      <c r="C27" s="6" t="s">
        <v>241</v>
      </c>
      <c r="D27" s="4" t="s">
        <v>242</v>
      </c>
      <c r="E27" s="10" t="s">
        <v>31</v>
      </c>
    </row>
    <row r="28" spans="1:6" ht="15.75" customHeight="1"/>
    <row r="29" spans="1:6" ht="43.5" customHeight="1">
      <c r="A29" s="42" t="s">
        <v>243</v>
      </c>
      <c r="B29" s="41"/>
      <c r="C29" s="41"/>
      <c r="D29" s="41"/>
      <c r="E29" s="41"/>
      <c r="F29" s="41"/>
    </row>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F2"/>
    <mergeCell ref="A17:F17"/>
    <mergeCell ref="A4:F4"/>
    <mergeCell ref="A29:F29"/>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topLeftCell="D1" workbookViewId="0">
      <pane ySplit="5" topLeftCell="A6" activePane="bottomLeft" state="frozen"/>
      <selection pane="bottomLeft" activeCell="B7" sqref="B7"/>
    </sheetView>
  </sheetViews>
  <sheetFormatPr baseColWidth="10" defaultColWidth="14.44140625" defaultRowHeight="15" customHeight="1"/>
  <cols>
    <col min="1" max="2" width="34" customWidth="1"/>
    <col min="3" max="3" width="19" customWidth="1"/>
    <col min="4" max="4" width="11" customWidth="1"/>
    <col min="5" max="5" width="19" customWidth="1"/>
    <col min="6" max="6" width="11" customWidth="1"/>
    <col min="7" max="7" width="19" customWidth="1"/>
    <col min="8" max="8" width="11" customWidth="1"/>
    <col min="9" max="9" width="19" customWidth="1"/>
    <col min="10" max="10" width="11" customWidth="1"/>
    <col min="11" max="11" width="19" customWidth="1"/>
    <col min="12" max="12" width="11" customWidth="1"/>
    <col min="13" max="13" width="19" customWidth="1"/>
    <col min="14" max="14" width="11" customWidth="1"/>
    <col min="15" max="15" width="19" customWidth="1"/>
    <col min="16" max="16" width="11" customWidth="1"/>
    <col min="17" max="17" width="19" customWidth="1"/>
    <col min="18" max="18" width="11" customWidth="1"/>
    <col min="19" max="19" width="19" customWidth="1"/>
    <col min="20" max="20" width="11" customWidth="1"/>
    <col min="21" max="21" width="19" customWidth="1"/>
    <col min="22" max="22" width="11" customWidth="1"/>
    <col min="23" max="23" width="19" customWidth="1"/>
    <col min="24" max="24" width="11" customWidth="1"/>
    <col min="25" max="25" width="19" customWidth="1"/>
    <col min="26" max="26" width="11" customWidth="1"/>
  </cols>
  <sheetData>
    <row r="1" spans="1:26" ht="17.399999999999999">
      <c r="A1" s="1" t="s">
        <v>244</v>
      </c>
    </row>
    <row r="2" spans="1:26" ht="30" customHeight="1">
      <c r="A2" s="44" t="s">
        <v>245</v>
      </c>
      <c r="B2" s="41"/>
      <c r="C2" s="41"/>
      <c r="D2" s="41"/>
      <c r="E2" s="41"/>
      <c r="F2" s="41"/>
      <c r="G2" s="41"/>
      <c r="H2" s="41"/>
      <c r="I2" s="41"/>
      <c r="J2" s="41"/>
      <c r="K2" s="41"/>
      <c r="L2" s="41"/>
    </row>
    <row r="4" spans="1:26" ht="15" customHeight="1">
      <c r="A4" s="52" t="s">
        <v>246</v>
      </c>
      <c r="B4" s="52" t="s">
        <v>247</v>
      </c>
      <c r="C4" s="50" t="s">
        <v>248</v>
      </c>
      <c r="D4" s="41"/>
      <c r="E4" s="50" t="s">
        <v>249</v>
      </c>
      <c r="F4" s="41"/>
      <c r="G4" s="50" t="s">
        <v>250</v>
      </c>
      <c r="H4" s="41"/>
      <c r="I4" s="50" t="s">
        <v>251</v>
      </c>
      <c r="J4" s="41"/>
      <c r="K4" s="50" t="s">
        <v>252</v>
      </c>
      <c r="L4" s="41"/>
      <c r="M4" s="50" t="s">
        <v>253</v>
      </c>
      <c r="N4" s="41"/>
      <c r="O4" s="50" t="s">
        <v>254</v>
      </c>
      <c r="P4" s="41"/>
      <c r="Q4" s="50" t="s">
        <v>255</v>
      </c>
      <c r="R4" s="41"/>
      <c r="S4" s="50" t="s">
        <v>256</v>
      </c>
      <c r="T4" s="41"/>
      <c r="U4" s="50" t="s">
        <v>257</v>
      </c>
      <c r="V4" s="41"/>
      <c r="W4" s="50" t="s">
        <v>258</v>
      </c>
      <c r="X4" s="41"/>
      <c r="Y4" s="50" t="s">
        <v>259</v>
      </c>
      <c r="Z4" s="41"/>
    </row>
    <row r="5" spans="1:26" ht="14.4">
      <c r="A5" s="53"/>
      <c r="B5" s="53"/>
      <c r="C5" s="2" t="s">
        <v>260</v>
      </c>
      <c r="D5" s="2" t="s">
        <v>261</v>
      </c>
      <c r="E5" s="2" t="s">
        <v>260</v>
      </c>
      <c r="F5" s="2" t="s">
        <v>261</v>
      </c>
      <c r="G5" s="2" t="s">
        <v>260</v>
      </c>
      <c r="H5" s="2" t="s">
        <v>261</v>
      </c>
      <c r="I5" s="2" t="s">
        <v>260</v>
      </c>
      <c r="J5" s="2" t="s">
        <v>261</v>
      </c>
      <c r="K5" s="2" t="s">
        <v>260</v>
      </c>
      <c r="L5" s="2" t="s">
        <v>261</v>
      </c>
      <c r="M5" s="2" t="s">
        <v>260</v>
      </c>
      <c r="N5" s="2" t="s">
        <v>261</v>
      </c>
      <c r="O5" s="2" t="s">
        <v>260</v>
      </c>
      <c r="P5" s="2" t="s">
        <v>261</v>
      </c>
      <c r="Q5" s="2" t="s">
        <v>260</v>
      </c>
      <c r="R5" s="2" t="s">
        <v>261</v>
      </c>
      <c r="S5" s="2" t="s">
        <v>260</v>
      </c>
      <c r="T5" s="2" t="s">
        <v>261</v>
      </c>
      <c r="U5" s="2" t="s">
        <v>260</v>
      </c>
      <c r="V5" s="2" t="s">
        <v>261</v>
      </c>
      <c r="W5" s="2" t="s">
        <v>260</v>
      </c>
      <c r="X5" s="2" t="s">
        <v>261</v>
      </c>
      <c r="Y5" s="2" t="s">
        <v>260</v>
      </c>
      <c r="Z5" s="2" t="s">
        <v>261</v>
      </c>
    </row>
    <row r="6" spans="1:26" ht="25.5" customHeight="1">
      <c r="A6" s="5" t="s">
        <v>262</v>
      </c>
      <c r="B6" s="25" t="s">
        <v>263</v>
      </c>
      <c r="C6" s="26" t="s">
        <v>264</v>
      </c>
      <c r="D6" s="27" t="s">
        <v>265</v>
      </c>
      <c r="E6" s="26" t="s">
        <v>264</v>
      </c>
      <c r="F6" s="27" t="s">
        <v>265</v>
      </c>
      <c r="G6" s="26" t="s">
        <v>264</v>
      </c>
      <c r="H6" s="27" t="s">
        <v>265</v>
      </c>
      <c r="I6" s="26" t="s">
        <v>264</v>
      </c>
      <c r="J6" s="27" t="s">
        <v>265</v>
      </c>
      <c r="K6" s="26" t="s">
        <v>266</v>
      </c>
      <c r="L6" s="27" t="s">
        <v>267</v>
      </c>
      <c r="M6" s="26" t="s">
        <v>264</v>
      </c>
      <c r="N6" s="27" t="s">
        <v>265</v>
      </c>
      <c r="O6" s="26" t="s">
        <v>264</v>
      </c>
      <c r="P6" s="27" t="s">
        <v>265</v>
      </c>
      <c r="Q6" s="26" t="s">
        <v>264</v>
      </c>
      <c r="R6" s="27" t="s">
        <v>265</v>
      </c>
      <c r="S6" s="26" t="s">
        <v>264</v>
      </c>
      <c r="T6" s="27" t="s">
        <v>265</v>
      </c>
      <c r="U6" s="26" t="s">
        <v>264</v>
      </c>
      <c r="V6" s="27" t="s">
        <v>265</v>
      </c>
      <c r="W6" s="26" t="s">
        <v>264</v>
      </c>
      <c r="X6" s="27" t="s">
        <v>265</v>
      </c>
      <c r="Y6" s="26" t="s">
        <v>264</v>
      </c>
      <c r="Z6" s="27" t="s">
        <v>265</v>
      </c>
    </row>
    <row r="7" spans="1:26" ht="25.5" customHeight="1">
      <c r="A7" s="5" t="s">
        <v>268</v>
      </c>
      <c r="B7" s="25" t="s">
        <v>269</v>
      </c>
      <c r="C7" s="26" t="s">
        <v>270</v>
      </c>
      <c r="D7" s="27" t="s">
        <v>265</v>
      </c>
      <c r="E7" s="26" t="s">
        <v>270</v>
      </c>
      <c r="F7" s="27" t="s">
        <v>265</v>
      </c>
      <c r="G7" s="26" t="s">
        <v>270</v>
      </c>
      <c r="H7" s="27" t="s">
        <v>265</v>
      </c>
      <c r="I7" s="26" t="s">
        <v>271</v>
      </c>
      <c r="J7" s="27" t="s">
        <v>265</v>
      </c>
      <c r="K7" s="26" t="s">
        <v>272</v>
      </c>
      <c r="L7" s="27" t="s">
        <v>265</v>
      </c>
      <c r="M7" s="26" t="s">
        <v>271</v>
      </c>
      <c r="N7" s="27" t="s">
        <v>265</v>
      </c>
      <c r="O7" s="26" t="s">
        <v>273</v>
      </c>
      <c r="P7" s="27" t="s">
        <v>265</v>
      </c>
      <c r="Q7" s="26" t="s">
        <v>270</v>
      </c>
      <c r="R7" s="27" t="s">
        <v>265</v>
      </c>
      <c r="S7" s="26" t="s">
        <v>273</v>
      </c>
      <c r="T7" s="27" t="s">
        <v>265</v>
      </c>
      <c r="U7" s="26" t="s">
        <v>273</v>
      </c>
      <c r="V7" s="27" t="s">
        <v>265</v>
      </c>
      <c r="W7" s="26" t="s">
        <v>273</v>
      </c>
      <c r="X7" s="27" t="s">
        <v>265</v>
      </c>
      <c r="Y7" s="26" t="s">
        <v>273</v>
      </c>
      <c r="Z7" s="27" t="s">
        <v>265</v>
      </c>
    </row>
    <row r="8" spans="1:26" ht="25.5" customHeight="1">
      <c r="A8" s="5" t="s">
        <v>274</v>
      </c>
      <c r="B8" s="28" t="str">
        <f>"≥ "&amp;Inventario!E41&amp;" buses SPI (calculado en la hoja Inventario)"</f>
        <v>≥ 3 buses SPI (calculado en la hoja Inventario)</v>
      </c>
      <c r="C8" s="26" t="s">
        <v>275</v>
      </c>
      <c r="D8" s="27" t="s">
        <v>265</v>
      </c>
      <c r="E8" s="26" t="s">
        <v>276</v>
      </c>
      <c r="F8" s="27" t="s">
        <v>265</v>
      </c>
      <c r="G8" s="26" t="s">
        <v>276</v>
      </c>
      <c r="H8" s="27" t="s">
        <v>265</v>
      </c>
      <c r="I8" s="26" t="s">
        <v>277</v>
      </c>
      <c r="J8" s="27" t="s">
        <v>265</v>
      </c>
      <c r="K8" s="26" t="s">
        <v>278</v>
      </c>
      <c r="L8" s="27" t="s">
        <v>265</v>
      </c>
      <c r="M8" s="26" t="s">
        <v>277</v>
      </c>
      <c r="N8" s="27" t="s">
        <v>265</v>
      </c>
      <c r="O8" s="26" t="s">
        <v>277</v>
      </c>
      <c r="P8" s="27" t="s">
        <v>265</v>
      </c>
      <c r="Q8" s="26" t="s">
        <v>276</v>
      </c>
      <c r="R8" s="27" t="s">
        <v>265</v>
      </c>
      <c r="S8" s="26" t="s">
        <v>276</v>
      </c>
      <c r="T8" s="27" t="s">
        <v>265</v>
      </c>
      <c r="U8" s="26" t="s">
        <v>276</v>
      </c>
      <c r="V8" s="27" t="s">
        <v>265</v>
      </c>
      <c r="W8" s="26" t="s">
        <v>276</v>
      </c>
      <c r="X8" s="27" t="s">
        <v>265</v>
      </c>
      <c r="Y8" s="26" t="s">
        <v>276</v>
      </c>
      <c r="Z8" s="27" t="s">
        <v>265</v>
      </c>
    </row>
    <row r="9" spans="1:26" ht="25.5" customHeight="1">
      <c r="A9" s="5" t="s">
        <v>160</v>
      </c>
      <c r="B9" s="28" t="str">
        <f>"≥ "&amp;Inventario!E42&amp;" UART (calculado en la hoja Inventario)"</f>
        <v>≥ 4 UART (calculado en la hoja Inventario)</v>
      </c>
      <c r="C9" s="26" t="s">
        <v>279</v>
      </c>
      <c r="D9" s="27" t="s">
        <v>267</v>
      </c>
      <c r="E9" s="26" t="s">
        <v>280</v>
      </c>
      <c r="F9" s="27" t="s">
        <v>265</v>
      </c>
      <c r="G9" s="26" t="s">
        <v>281</v>
      </c>
      <c r="H9" s="27" t="s">
        <v>265</v>
      </c>
      <c r="I9" s="26" t="s">
        <v>282</v>
      </c>
      <c r="J9" s="27" t="s">
        <v>265</v>
      </c>
      <c r="K9" s="26" t="s">
        <v>283</v>
      </c>
      <c r="L9" s="27" t="s">
        <v>267</v>
      </c>
      <c r="M9" s="26" t="s">
        <v>284</v>
      </c>
      <c r="N9" s="27" t="s">
        <v>265</v>
      </c>
      <c r="O9" s="26" t="s">
        <v>285</v>
      </c>
      <c r="P9" s="27" t="s">
        <v>265</v>
      </c>
      <c r="Q9" s="26" t="s">
        <v>286</v>
      </c>
      <c r="R9" s="27" t="s">
        <v>265</v>
      </c>
      <c r="S9" s="26" t="s">
        <v>275</v>
      </c>
      <c r="T9" s="27" t="s">
        <v>265</v>
      </c>
      <c r="U9" s="26" t="s">
        <v>275</v>
      </c>
      <c r="V9" s="27" t="s">
        <v>265</v>
      </c>
      <c r="W9" s="26" t="s">
        <v>287</v>
      </c>
      <c r="X9" s="27" t="s">
        <v>265</v>
      </c>
      <c r="Y9" s="26" t="s">
        <v>287</v>
      </c>
      <c r="Z9" s="27" t="s">
        <v>265</v>
      </c>
    </row>
    <row r="10" spans="1:26" ht="25.5" customHeight="1">
      <c r="A10" s="5" t="s">
        <v>76</v>
      </c>
      <c r="B10" s="28" t="str">
        <f>"≥ "&amp;Inventario!E43&amp;" buses I2C (calculado en la hoja Inventario)"</f>
        <v>≥ 2 buses I2C (calculado en la hoja Inventario)</v>
      </c>
      <c r="C10" s="26" t="s">
        <v>283</v>
      </c>
      <c r="D10" s="27" t="s">
        <v>265</v>
      </c>
      <c r="E10" s="26" t="s">
        <v>288</v>
      </c>
      <c r="F10" s="27" t="s">
        <v>265</v>
      </c>
      <c r="G10" s="26" t="s">
        <v>288</v>
      </c>
      <c r="H10" s="27" t="s">
        <v>265</v>
      </c>
      <c r="I10" s="26" t="s">
        <v>288</v>
      </c>
      <c r="J10" s="27" t="s">
        <v>265</v>
      </c>
      <c r="K10" s="26" t="s">
        <v>289</v>
      </c>
      <c r="L10" s="27" t="s">
        <v>265</v>
      </c>
      <c r="M10" s="26" t="s">
        <v>288</v>
      </c>
      <c r="N10" s="27" t="s">
        <v>265</v>
      </c>
      <c r="O10" s="26" t="s">
        <v>288</v>
      </c>
      <c r="P10" s="27" t="s">
        <v>265</v>
      </c>
      <c r="Q10" s="26" t="s">
        <v>283</v>
      </c>
      <c r="R10" s="27" t="s">
        <v>265</v>
      </c>
      <c r="S10" s="26" t="s">
        <v>288</v>
      </c>
      <c r="T10" s="27" t="s">
        <v>265</v>
      </c>
      <c r="U10" s="26" t="s">
        <v>290</v>
      </c>
      <c r="V10" s="27" t="s">
        <v>265</v>
      </c>
      <c r="W10" s="26" t="s">
        <v>277</v>
      </c>
      <c r="X10" s="27" t="s">
        <v>265</v>
      </c>
      <c r="Y10" s="26" t="s">
        <v>290</v>
      </c>
      <c r="Z10" s="27" t="s">
        <v>265</v>
      </c>
    </row>
    <row r="11" spans="1:26" ht="25.5" customHeight="1">
      <c r="A11" s="5" t="s">
        <v>163</v>
      </c>
      <c r="B11" s="28" t="str">
        <f>"≥ "&amp;Inventario!E44&amp;" CAN (calculado en la hoja Inventario)"</f>
        <v>≥ 1 CAN (calculado en la hoja Inventario)</v>
      </c>
      <c r="C11" s="26" t="s">
        <v>291</v>
      </c>
      <c r="D11" s="27" t="s">
        <v>267</v>
      </c>
      <c r="E11" s="26" t="s">
        <v>292</v>
      </c>
      <c r="F11" s="27" t="s">
        <v>265</v>
      </c>
      <c r="G11" s="26" t="s">
        <v>293</v>
      </c>
      <c r="H11" s="27" t="s">
        <v>265</v>
      </c>
      <c r="I11" s="26" t="s">
        <v>294</v>
      </c>
      <c r="J11" s="27" t="s">
        <v>265</v>
      </c>
      <c r="K11" s="26" t="s">
        <v>295</v>
      </c>
      <c r="L11" s="27" t="s">
        <v>265</v>
      </c>
      <c r="M11" s="26" t="s">
        <v>296</v>
      </c>
      <c r="N11" s="27" t="s">
        <v>265</v>
      </c>
      <c r="O11" s="26" t="s">
        <v>294</v>
      </c>
      <c r="P11" s="27" t="s">
        <v>265</v>
      </c>
      <c r="Q11" s="26" t="s">
        <v>297</v>
      </c>
      <c r="R11" s="27" t="s">
        <v>265</v>
      </c>
      <c r="S11" s="26" t="s">
        <v>298</v>
      </c>
      <c r="T11" s="27" t="s">
        <v>265</v>
      </c>
      <c r="U11" s="26" t="s">
        <v>298</v>
      </c>
      <c r="V11" s="27" t="s">
        <v>265</v>
      </c>
      <c r="W11" s="26" t="s">
        <v>298</v>
      </c>
      <c r="X11" s="27" t="s">
        <v>265</v>
      </c>
      <c r="Y11" s="26" t="s">
        <v>294</v>
      </c>
      <c r="Z11" s="27" t="s">
        <v>265</v>
      </c>
    </row>
    <row r="12" spans="1:26" ht="25.5" customHeight="1">
      <c r="A12" s="5" t="s">
        <v>299</v>
      </c>
      <c r="B12" s="25" t="s">
        <v>300</v>
      </c>
      <c r="C12" s="26" t="s">
        <v>301</v>
      </c>
      <c r="D12" s="27" t="s">
        <v>265</v>
      </c>
      <c r="E12" s="26" t="s">
        <v>302</v>
      </c>
      <c r="F12" s="27" t="s">
        <v>265</v>
      </c>
      <c r="G12" s="26" t="s">
        <v>303</v>
      </c>
      <c r="H12" s="27" t="s">
        <v>265</v>
      </c>
      <c r="I12" s="26" t="s">
        <v>304</v>
      </c>
      <c r="J12" s="27" t="s">
        <v>265</v>
      </c>
      <c r="K12" s="26" t="s">
        <v>305</v>
      </c>
      <c r="L12" s="27" t="s">
        <v>265</v>
      </c>
      <c r="M12" s="26" t="s">
        <v>306</v>
      </c>
      <c r="N12" s="27" t="s">
        <v>265</v>
      </c>
      <c r="O12" s="26" t="s">
        <v>307</v>
      </c>
      <c r="P12" s="27" t="s">
        <v>265</v>
      </c>
      <c r="Q12" s="26" t="s">
        <v>302</v>
      </c>
      <c r="R12" s="27" t="s">
        <v>265</v>
      </c>
      <c r="S12" s="26" t="s">
        <v>307</v>
      </c>
      <c r="T12" s="27" t="s">
        <v>265</v>
      </c>
      <c r="U12" s="26" t="s">
        <v>307</v>
      </c>
      <c r="V12" s="27" t="s">
        <v>265</v>
      </c>
      <c r="W12" s="26" t="s">
        <v>308</v>
      </c>
      <c r="X12" s="27" t="s">
        <v>265</v>
      </c>
      <c r="Y12" s="26" t="s">
        <v>309</v>
      </c>
      <c r="Z12" s="27" t="s">
        <v>265</v>
      </c>
    </row>
    <row r="13" spans="1:26" ht="25.5" customHeight="1">
      <c r="A13" s="5" t="s">
        <v>165</v>
      </c>
      <c r="B13" s="28" t="str">
        <f>"≥ "&amp;Inventario!E45&amp;" canales ADC (calculado en la hoja Inventario)"</f>
        <v>≥ 12 canales ADC (calculado en la hoja Inventario)</v>
      </c>
      <c r="C13" s="26" t="s">
        <v>310</v>
      </c>
      <c r="D13" s="27" t="s">
        <v>265</v>
      </c>
      <c r="E13" s="26" t="s">
        <v>310</v>
      </c>
      <c r="F13" s="27" t="s">
        <v>265</v>
      </c>
      <c r="G13" s="26" t="s">
        <v>311</v>
      </c>
      <c r="H13" s="27" t="s">
        <v>265</v>
      </c>
      <c r="I13" s="26" t="s">
        <v>312</v>
      </c>
      <c r="J13" s="27" t="s">
        <v>265</v>
      </c>
      <c r="K13" s="26" t="s">
        <v>313</v>
      </c>
      <c r="L13" s="27" t="s">
        <v>265</v>
      </c>
      <c r="M13" s="26" t="s">
        <v>314</v>
      </c>
      <c r="N13" s="27" t="s">
        <v>265</v>
      </c>
      <c r="O13" s="26" t="s">
        <v>315</v>
      </c>
      <c r="P13" s="27" t="s">
        <v>265</v>
      </c>
      <c r="Q13" s="26" t="s">
        <v>310</v>
      </c>
      <c r="R13" s="27" t="s">
        <v>265</v>
      </c>
      <c r="S13" s="26" t="s">
        <v>316</v>
      </c>
      <c r="T13" s="27" t="s">
        <v>265</v>
      </c>
      <c r="U13" s="26" t="s">
        <v>317</v>
      </c>
      <c r="V13" s="27" t="s">
        <v>265</v>
      </c>
      <c r="W13" s="26" t="s">
        <v>318</v>
      </c>
      <c r="X13" s="27" t="s">
        <v>265</v>
      </c>
      <c r="Y13" s="26" t="s">
        <v>312</v>
      </c>
      <c r="Z13" s="27" t="s">
        <v>265</v>
      </c>
    </row>
    <row r="14" spans="1:26" ht="25.5" customHeight="1">
      <c r="A14" s="5" t="s">
        <v>319</v>
      </c>
      <c r="B14" s="28" t="str">
        <f>"≥ "&amp;Inventario!E46&amp;" timers con PWM (calculado en la hoja Inventario)"</f>
        <v>≥ 3 timers con PWM (calculado en la hoja Inventario)</v>
      </c>
      <c r="C14" s="26" t="s">
        <v>320</v>
      </c>
      <c r="D14" s="27" t="s">
        <v>265</v>
      </c>
      <c r="E14" s="26" t="s">
        <v>321</v>
      </c>
      <c r="F14" s="27" t="s">
        <v>265</v>
      </c>
      <c r="G14" s="26" t="s">
        <v>322</v>
      </c>
      <c r="H14" s="27" t="s">
        <v>265</v>
      </c>
      <c r="I14" s="26" t="s">
        <v>321</v>
      </c>
      <c r="J14" s="27" t="s">
        <v>265</v>
      </c>
      <c r="K14" s="26" t="s">
        <v>323</v>
      </c>
      <c r="L14" s="27" t="s">
        <v>265</v>
      </c>
      <c r="M14" s="26" t="s">
        <v>321</v>
      </c>
      <c r="N14" s="27" t="s">
        <v>265</v>
      </c>
      <c r="O14" s="26" t="s">
        <v>324</v>
      </c>
      <c r="P14" s="27" t="s">
        <v>265</v>
      </c>
      <c r="Q14" s="26" t="s">
        <v>325</v>
      </c>
      <c r="R14" s="27" t="s">
        <v>265</v>
      </c>
      <c r="S14" s="26" t="s">
        <v>325</v>
      </c>
      <c r="T14" s="27" t="s">
        <v>265</v>
      </c>
      <c r="U14" s="26" t="s">
        <v>326</v>
      </c>
      <c r="V14" s="27" t="s">
        <v>265</v>
      </c>
      <c r="W14" s="26" t="s">
        <v>327</v>
      </c>
      <c r="X14" s="27" t="s">
        <v>265</v>
      </c>
      <c r="Y14" s="26" t="s">
        <v>328</v>
      </c>
      <c r="Z14" s="27" t="s">
        <v>265</v>
      </c>
    </row>
    <row r="15" spans="1:26" ht="25.5" customHeight="1">
      <c r="A15" s="5" t="s">
        <v>329</v>
      </c>
      <c r="B15" s="25" t="s">
        <v>330</v>
      </c>
      <c r="C15" s="26" t="s">
        <v>331</v>
      </c>
      <c r="D15" s="27" t="s">
        <v>265</v>
      </c>
      <c r="E15" s="26" t="s">
        <v>331</v>
      </c>
      <c r="F15" s="27" t="s">
        <v>265</v>
      </c>
      <c r="G15" s="26" t="s">
        <v>331</v>
      </c>
      <c r="H15" s="27" t="s">
        <v>265</v>
      </c>
      <c r="I15" s="26" t="s">
        <v>332</v>
      </c>
      <c r="J15" s="27" t="s">
        <v>265</v>
      </c>
      <c r="K15" s="26" t="s">
        <v>333</v>
      </c>
      <c r="L15" s="27" t="s">
        <v>265</v>
      </c>
      <c r="M15" s="26" t="s">
        <v>333</v>
      </c>
      <c r="N15" s="27" t="s">
        <v>265</v>
      </c>
      <c r="O15" s="26" t="s">
        <v>334</v>
      </c>
      <c r="P15" s="27" t="s">
        <v>265</v>
      </c>
      <c r="Q15" s="26" t="s">
        <v>331</v>
      </c>
      <c r="R15" s="27" t="s">
        <v>265</v>
      </c>
      <c r="S15" s="26" t="s">
        <v>335</v>
      </c>
      <c r="T15" s="27" t="s">
        <v>265</v>
      </c>
      <c r="U15" s="26" t="s">
        <v>335</v>
      </c>
      <c r="V15" s="27" t="s">
        <v>265</v>
      </c>
      <c r="W15" s="26" t="s">
        <v>336</v>
      </c>
      <c r="X15" s="27" t="s">
        <v>265</v>
      </c>
      <c r="Y15" s="26" t="s">
        <v>335</v>
      </c>
      <c r="Z15" s="27" t="s">
        <v>265</v>
      </c>
    </row>
    <row r="16" spans="1:26" ht="25.5" customHeight="1">
      <c r="A16" s="5" t="s">
        <v>337</v>
      </c>
      <c r="B16" s="25" t="s">
        <v>338</v>
      </c>
      <c r="C16" s="26" t="s">
        <v>333</v>
      </c>
      <c r="D16" s="27" t="s">
        <v>265</v>
      </c>
      <c r="E16" s="26" t="s">
        <v>333</v>
      </c>
      <c r="F16" s="27" t="s">
        <v>265</v>
      </c>
      <c r="G16" s="26" t="s">
        <v>333</v>
      </c>
      <c r="H16" s="27" t="s">
        <v>265</v>
      </c>
      <c r="I16" s="26" t="s">
        <v>339</v>
      </c>
      <c r="J16" s="27" t="s">
        <v>265</v>
      </c>
      <c r="K16" s="26" t="s">
        <v>340</v>
      </c>
      <c r="L16" s="27" t="s">
        <v>265</v>
      </c>
      <c r="M16" s="26" t="s">
        <v>339</v>
      </c>
      <c r="N16" s="27" t="s">
        <v>265</v>
      </c>
      <c r="O16" s="26" t="s">
        <v>339</v>
      </c>
      <c r="P16" s="27" t="s">
        <v>265</v>
      </c>
      <c r="Q16" s="26" t="s">
        <v>332</v>
      </c>
      <c r="R16" s="27" t="s">
        <v>265</v>
      </c>
      <c r="S16" s="26" t="s">
        <v>333</v>
      </c>
      <c r="T16" s="27" t="s">
        <v>265</v>
      </c>
      <c r="U16" s="26" t="s">
        <v>332</v>
      </c>
      <c r="V16" s="27" t="s">
        <v>265</v>
      </c>
      <c r="W16" s="26" t="s">
        <v>341</v>
      </c>
      <c r="X16" s="27" t="s">
        <v>265</v>
      </c>
      <c r="Y16" s="26" t="s">
        <v>332</v>
      </c>
      <c r="Z16" s="27" t="s">
        <v>265</v>
      </c>
    </row>
    <row r="17" spans="1:26" ht="25.5" customHeight="1">
      <c r="A17" s="5" t="s">
        <v>342</v>
      </c>
      <c r="B17" s="25" t="s">
        <v>343</v>
      </c>
      <c r="C17" s="26" t="s">
        <v>344</v>
      </c>
      <c r="D17" s="27" t="s">
        <v>265</v>
      </c>
      <c r="E17" s="26" t="s">
        <v>344</v>
      </c>
      <c r="F17" s="27" t="s">
        <v>265</v>
      </c>
      <c r="G17" s="26" t="s">
        <v>345</v>
      </c>
      <c r="H17" s="27" t="s">
        <v>265</v>
      </c>
      <c r="I17" s="26" t="s">
        <v>346</v>
      </c>
      <c r="J17" s="27" t="s">
        <v>265</v>
      </c>
      <c r="K17" s="26" t="s">
        <v>346</v>
      </c>
      <c r="L17" s="27" t="s">
        <v>265</v>
      </c>
      <c r="M17" s="26" t="s">
        <v>346</v>
      </c>
      <c r="N17" s="27" t="s">
        <v>265</v>
      </c>
      <c r="O17" s="26" t="s">
        <v>345</v>
      </c>
      <c r="P17" s="27" t="s">
        <v>265</v>
      </c>
      <c r="Q17" s="26" t="s">
        <v>345</v>
      </c>
      <c r="R17" s="27" t="s">
        <v>265</v>
      </c>
      <c r="S17" s="26" t="s">
        <v>345</v>
      </c>
      <c r="T17" s="27" t="s">
        <v>265</v>
      </c>
      <c r="U17" s="26" t="s">
        <v>344</v>
      </c>
      <c r="V17" s="27" t="s">
        <v>265</v>
      </c>
      <c r="W17" s="26" t="s">
        <v>345</v>
      </c>
      <c r="X17" s="27" t="s">
        <v>265</v>
      </c>
      <c r="Y17" s="26" t="s">
        <v>346</v>
      </c>
      <c r="Z17" s="27" t="s">
        <v>265</v>
      </c>
    </row>
    <row r="18" spans="1:26" ht="25.5" customHeight="1">
      <c r="A18" s="5" t="s">
        <v>347</v>
      </c>
      <c r="B18" s="25" t="s">
        <v>348</v>
      </c>
      <c r="C18" s="26" t="s">
        <v>349</v>
      </c>
      <c r="D18" s="27" t="s">
        <v>265</v>
      </c>
      <c r="E18" s="26" t="s">
        <v>349</v>
      </c>
      <c r="F18" s="27" t="s">
        <v>265</v>
      </c>
      <c r="G18" s="26" t="s">
        <v>349</v>
      </c>
      <c r="H18" s="27" t="s">
        <v>265</v>
      </c>
      <c r="I18" s="26" t="s">
        <v>350</v>
      </c>
      <c r="J18" s="27" t="s">
        <v>265</v>
      </c>
      <c r="K18" s="26" t="s">
        <v>351</v>
      </c>
      <c r="L18" s="27" t="s">
        <v>267</v>
      </c>
      <c r="M18" s="26" t="s">
        <v>350</v>
      </c>
      <c r="N18" s="27" t="s">
        <v>265</v>
      </c>
      <c r="O18" s="26" t="s">
        <v>350</v>
      </c>
      <c r="P18" s="27" t="s">
        <v>265</v>
      </c>
      <c r="Q18" s="26" t="s">
        <v>349</v>
      </c>
      <c r="R18" s="27" t="s">
        <v>265</v>
      </c>
      <c r="S18" s="26" t="s">
        <v>350</v>
      </c>
      <c r="T18" s="27" t="s">
        <v>265</v>
      </c>
      <c r="U18" s="26" t="s">
        <v>349</v>
      </c>
      <c r="V18" s="27" t="s">
        <v>265</v>
      </c>
      <c r="W18" s="26" t="s">
        <v>350</v>
      </c>
      <c r="X18" s="27" t="s">
        <v>265</v>
      </c>
      <c r="Y18" s="26" t="s">
        <v>350</v>
      </c>
      <c r="Z18" s="27" t="s">
        <v>265</v>
      </c>
    </row>
    <row r="19" spans="1:26" ht="25.5" customHeight="1">
      <c r="A19" s="5" t="s">
        <v>352</v>
      </c>
      <c r="B19" s="25" t="s">
        <v>353</v>
      </c>
      <c r="C19" s="26" t="s">
        <v>354</v>
      </c>
      <c r="D19" s="27" t="s">
        <v>265</v>
      </c>
      <c r="E19" s="26" t="s">
        <v>355</v>
      </c>
      <c r="F19" s="27" t="s">
        <v>265</v>
      </c>
      <c r="G19" s="26" t="s">
        <v>356</v>
      </c>
      <c r="H19" s="27" t="s">
        <v>265</v>
      </c>
      <c r="I19" s="26" t="s">
        <v>357</v>
      </c>
      <c r="J19" s="27" t="s">
        <v>265</v>
      </c>
      <c r="K19" s="26" t="s">
        <v>358</v>
      </c>
      <c r="L19" s="27" t="s">
        <v>265</v>
      </c>
      <c r="M19" s="26" t="s">
        <v>359</v>
      </c>
      <c r="N19" s="27" t="s">
        <v>265</v>
      </c>
      <c r="O19" s="26" t="s">
        <v>360</v>
      </c>
      <c r="P19" s="27" t="s">
        <v>265</v>
      </c>
      <c r="Q19" s="26" t="s">
        <v>361</v>
      </c>
      <c r="R19" s="27" t="s">
        <v>265</v>
      </c>
      <c r="S19" s="26" t="s">
        <v>362</v>
      </c>
      <c r="T19" s="27" t="s">
        <v>265</v>
      </c>
      <c r="U19" s="26" t="s">
        <v>363</v>
      </c>
      <c r="V19" s="27" t="s">
        <v>265</v>
      </c>
      <c r="W19" s="26" t="s">
        <v>364</v>
      </c>
      <c r="X19" s="27" t="s">
        <v>265</v>
      </c>
      <c r="Y19" s="26" t="s">
        <v>365</v>
      </c>
      <c r="Z19" s="27" t="s">
        <v>80</v>
      </c>
    </row>
    <row r="20" spans="1:26" ht="25.5" customHeight="1">
      <c r="A20" s="5" t="s">
        <v>366</v>
      </c>
      <c r="B20" s="25" t="s">
        <v>367</v>
      </c>
      <c r="C20" s="26" t="s">
        <v>368</v>
      </c>
      <c r="D20" s="27" t="s">
        <v>265</v>
      </c>
      <c r="E20" s="26" t="s">
        <v>368</v>
      </c>
      <c r="F20" s="27" t="s">
        <v>265</v>
      </c>
      <c r="G20" s="26" t="s">
        <v>368</v>
      </c>
      <c r="H20" s="27" t="s">
        <v>265</v>
      </c>
      <c r="I20" s="26" t="s">
        <v>369</v>
      </c>
      <c r="J20" s="27" t="s">
        <v>265</v>
      </c>
      <c r="K20" s="26" t="s">
        <v>368</v>
      </c>
      <c r="L20" s="27" t="s">
        <v>265</v>
      </c>
      <c r="M20" s="26" t="s">
        <v>368</v>
      </c>
      <c r="N20" s="27" t="s">
        <v>265</v>
      </c>
      <c r="O20" s="26" t="s">
        <v>368</v>
      </c>
      <c r="P20" s="27" t="s">
        <v>265</v>
      </c>
      <c r="Q20" s="26" t="s">
        <v>368</v>
      </c>
      <c r="R20" s="27" t="s">
        <v>265</v>
      </c>
      <c r="S20" s="26" t="s">
        <v>368</v>
      </c>
      <c r="T20" s="27" t="s">
        <v>265</v>
      </c>
      <c r="U20" s="26" t="s">
        <v>370</v>
      </c>
      <c r="V20" s="27" t="s">
        <v>265</v>
      </c>
      <c r="W20" s="26" t="s">
        <v>368</v>
      </c>
      <c r="X20" s="27" t="s">
        <v>265</v>
      </c>
      <c r="Y20" s="26" t="s">
        <v>371</v>
      </c>
      <c r="Z20" s="27" t="s">
        <v>265</v>
      </c>
    </row>
    <row r="21" spans="1:26" ht="25.5" customHeight="1">
      <c r="A21" s="5" t="s">
        <v>372</v>
      </c>
      <c r="B21" s="25" t="s">
        <v>373</v>
      </c>
      <c r="C21" s="26" t="s">
        <v>374</v>
      </c>
      <c r="D21" s="27" t="s">
        <v>80</v>
      </c>
      <c r="E21" s="26" t="s">
        <v>374</v>
      </c>
      <c r="F21" s="27" t="s">
        <v>80</v>
      </c>
      <c r="G21" s="26" t="s">
        <v>374</v>
      </c>
      <c r="H21" s="27" t="s">
        <v>80</v>
      </c>
      <c r="I21" s="26" t="s">
        <v>374</v>
      </c>
      <c r="J21" s="27" t="s">
        <v>80</v>
      </c>
      <c r="K21" s="26" t="s">
        <v>374</v>
      </c>
      <c r="L21" s="27" t="s">
        <v>80</v>
      </c>
      <c r="M21" s="26" t="s">
        <v>374</v>
      </c>
      <c r="N21" s="27" t="s">
        <v>80</v>
      </c>
      <c r="O21" s="26" t="s">
        <v>374</v>
      </c>
      <c r="P21" s="27" t="s">
        <v>80</v>
      </c>
      <c r="Q21" s="26" t="s">
        <v>374</v>
      </c>
      <c r="R21" s="27" t="s">
        <v>80</v>
      </c>
      <c r="S21" s="26" t="s">
        <v>374</v>
      </c>
      <c r="T21" s="27" t="s">
        <v>80</v>
      </c>
      <c r="U21" s="26" t="s">
        <v>374</v>
      </c>
      <c r="V21" s="27" t="s">
        <v>80</v>
      </c>
      <c r="W21" s="26" t="s">
        <v>374</v>
      </c>
      <c r="X21" s="27" t="s">
        <v>80</v>
      </c>
      <c r="Y21" s="26" t="s">
        <v>374</v>
      </c>
      <c r="Z21" s="27" t="s">
        <v>80</v>
      </c>
    </row>
    <row r="22" spans="1:26" ht="15.75" customHeight="1"/>
    <row r="23" spans="1:26" ht="15.75" customHeight="1">
      <c r="A23" s="3" t="s">
        <v>375</v>
      </c>
      <c r="B23" s="10" t="s">
        <v>376</v>
      </c>
      <c r="C23" s="51" t="str">
        <f>IF(COUNTIF(D6:D21,"NO")&gt;0,"ELIMINADO","PASA")</f>
        <v>ELIMINADO</v>
      </c>
      <c r="D23" s="47"/>
      <c r="E23" s="51" t="str">
        <f>IF(COUNTIF(F6:F21,"NO")&gt;0,"ELIMINADO","PASA")</f>
        <v>PASA</v>
      </c>
      <c r="F23" s="47"/>
      <c r="G23" s="51" t="str">
        <f>IF(COUNTIF(H6:H21,"NO")&gt;0,"ELIMINADO","PASA")</f>
        <v>PASA</v>
      </c>
      <c r="H23" s="47"/>
      <c r="I23" s="51" t="str">
        <f>IF(COUNTIF(J6:J21,"NO")&gt;0,"ELIMINADO","PASA")</f>
        <v>PASA</v>
      </c>
      <c r="J23" s="47"/>
      <c r="K23" s="51" t="str">
        <f>IF(COUNTIF(L6:L21,"NO")&gt;0,"ELIMINADO","PASA")</f>
        <v>ELIMINADO</v>
      </c>
      <c r="L23" s="47"/>
      <c r="M23" s="51" t="str">
        <f>IF(COUNTIF(N6:N21,"NO")&gt;0,"ELIMINADO","PASA")</f>
        <v>PASA</v>
      </c>
      <c r="N23" s="47"/>
      <c r="O23" s="51" t="str">
        <f>IF(COUNTIF(P6:P21,"NO")&gt;0,"ELIMINADO","PASA")</f>
        <v>PASA</v>
      </c>
      <c r="P23" s="47"/>
      <c r="Q23" s="51" t="str">
        <f>IF(COUNTIF(R6:R21,"NO")&gt;0,"ELIMINADO","PASA")</f>
        <v>PASA</v>
      </c>
      <c r="R23" s="47"/>
      <c r="S23" s="51" t="str">
        <f>IF(COUNTIF(T6:T21,"NO")&gt;0,"ELIMINADO","PASA")</f>
        <v>PASA</v>
      </c>
      <c r="T23" s="47"/>
      <c r="U23" s="51" t="str">
        <f>IF(COUNTIF(V6:V21,"NO")&gt;0,"ELIMINADO","PASA")</f>
        <v>PASA</v>
      </c>
      <c r="V23" s="47"/>
      <c r="W23" s="51" t="str">
        <f>IF(COUNTIF(X6:X21,"NO")&gt;0,"ELIMINADO","PASA")</f>
        <v>PASA</v>
      </c>
      <c r="X23" s="47"/>
      <c r="Y23" s="51" t="str">
        <f>IF(COUNTIF(Z6:Z21,"NO")&gt;0,"ELIMINADO","PASA")</f>
        <v>PASA</v>
      </c>
      <c r="Z23" s="47"/>
    </row>
    <row r="24" spans="1:26" ht="15.75" customHeight="1"/>
    <row r="25" spans="1:26" ht="57.75" customHeight="1">
      <c r="A25" s="49" t="s">
        <v>377</v>
      </c>
      <c r="B25" s="41"/>
      <c r="C25" s="41"/>
      <c r="D25" s="41"/>
      <c r="E25" s="41"/>
      <c r="F25" s="41"/>
      <c r="G25" s="41"/>
      <c r="H25" s="41"/>
      <c r="I25" s="41"/>
      <c r="J25" s="41"/>
      <c r="K25" s="41"/>
      <c r="L25" s="41"/>
    </row>
    <row r="26" spans="1:26" ht="15.75" customHeight="1"/>
    <row r="27" spans="1:26" ht="42" customHeight="1">
      <c r="A27" s="49" t="s">
        <v>378</v>
      </c>
      <c r="B27" s="41"/>
      <c r="C27" s="41"/>
      <c r="D27" s="41"/>
      <c r="E27" s="41"/>
      <c r="F27" s="41"/>
      <c r="G27" s="41"/>
      <c r="H27" s="41"/>
      <c r="I27" s="41"/>
      <c r="J27" s="41"/>
      <c r="K27" s="41"/>
      <c r="L27" s="41"/>
    </row>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27:L27"/>
    <mergeCell ref="C4:D4"/>
    <mergeCell ref="E4:F4"/>
    <mergeCell ref="A2:L2"/>
    <mergeCell ref="Q23:R23"/>
    <mergeCell ref="O4:P4"/>
    <mergeCell ref="Q4:R4"/>
    <mergeCell ref="A4:A5"/>
    <mergeCell ref="I23:J23"/>
    <mergeCell ref="K23:L23"/>
    <mergeCell ref="C23:D23"/>
    <mergeCell ref="G4:H4"/>
    <mergeCell ref="I4:J4"/>
    <mergeCell ref="B4:B5"/>
    <mergeCell ref="M23:N23"/>
    <mergeCell ref="O23:P23"/>
    <mergeCell ref="W4:X4"/>
    <mergeCell ref="Y4:Z4"/>
    <mergeCell ref="A25:L25"/>
    <mergeCell ref="E23:F23"/>
    <mergeCell ref="G23:H23"/>
    <mergeCell ref="S23:T23"/>
    <mergeCell ref="U23:V23"/>
    <mergeCell ref="W23:X23"/>
    <mergeCell ref="Y23:Z23"/>
    <mergeCell ref="K4:L4"/>
    <mergeCell ref="M4:N4"/>
    <mergeCell ref="S4:T4"/>
    <mergeCell ref="U4:V4"/>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showGridLines="0" workbookViewId="0">
      <pane ySplit="4" topLeftCell="A5" activePane="bottomLeft" state="frozen"/>
      <selection pane="bottomLeft" activeCell="B6" sqref="B6"/>
    </sheetView>
  </sheetViews>
  <sheetFormatPr baseColWidth="10" defaultColWidth="14.44140625" defaultRowHeight="15" customHeight="1"/>
  <cols>
    <col min="1" max="1" width="30" customWidth="1"/>
    <col min="2" max="3" width="42" customWidth="1"/>
    <col min="4" max="4" width="11" customWidth="1"/>
    <col min="5" max="5" width="13" customWidth="1"/>
    <col min="6" max="6" width="10" customWidth="1"/>
    <col min="7" max="7" width="13" customWidth="1"/>
    <col min="8" max="8" width="12" customWidth="1"/>
    <col min="9" max="9" width="20" customWidth="1"/>
    <col min="10" max="26" width="8.6640625" customWidth="1"/>
  </cols>
  <sheetData>
    <row r="1" spans="1:10" ht="17.399999999999999">
      <c r="A1" s="1" t="s">
        <v>379</v>
      </c>
    </row>
    <row r="2" spans="1:10" ht="30" customHeight="1">
      <c r="A2" s="44" t="s">
        <v>380</v>
      </c>
      <c r="B2" s="41"/>
      <c r="C2" s="41"/>
      <c r="D2" s="41"/>
      <c r="E2" s="41"/>
      <c r="F2" s="41"/>
      <c r="G2" s="41"/>
      <c r="H2" s="41"/>
      <c r="I2" s="41"/>
      <c r="J2" s="41"/>
    </row>
    <row r="4" spans="1:10" ht="43.5" customHeight="1">
      <c r="A4" s="2" t="s">
        <v>381</v>
      </c>
      <c r="B4" s="2" t="s">
        <v>382</v>
      </c>
      <c r="C4" s="2" t="s">
        <v>383</v>
      </c>
      <c r="D4" s="2" t="s">
        <v>384</v>
      </c>
      <c r="E4" s="2" t="s">
        <v>385</v>
      </c>
      <c r="F4" s="2" t="s">
        <v>386</v>
      </c>
      <c r="G4" s="2" t="s">
        <v>387</v>
      </c>
      <c r="H4" s="2" t="s">
        <v>388</v>
      </c>
      <c r="I4" s="2" t="s">
        <v>27</v>
      </c>
    </row>
    <row r="5" spans="1:10" ht="45.75" customHeight="1">
      <c r="A5" s="7" t="s">
        <v>389</v>
      </c>
      <c r="B5" s="5" t="s">
        <v>390</v>
      </c>
      <c r="C5" s="5" t="s">
        <v>391</v>
      </c>
      <c r="D5" s="8">
        <v>5</v>
      </c>
      <c r="E5" s="8">
        <v>2</v>
      </c>
      <c r="F5" s="22">
        <f t="shared" ref="F5:F13" si="0">D5*E5</f>
        <v>10</v>
      </c>
      <c r="G5" s="29">
        <f t="shared" ref="G5:G13" si="1">F5/SUM($F$5:$F$13)*100</f>
        <v>11.904761904761903</v>
      </c>
      <c r="H5" s="30">
        <f t="shared" ref="H5:H13" si="2">G5</f>
        <v>11.904761904761903</v>
      </c>
      <c r="I5" s="16" t="s">
        <v>392</v>
      </c>
    </row>
    <row r="6" spans="1:10" ht="45.75" customHeight="1">
      <c r="A6" s="7" t="s">
        <v>393</v>
      </c>
      <c r="B6" s="5" t="s">
        <v>394</v>
      </c>
      <c r="C6" s="5" t="s">
        <v>395</v>
      </c>
      <c r="D6" s="8">
        <v>5</v>
      </c>
      <c r="E6" s="8">
        <v>4</v>
      </c>
      <c r="F6" s="22">
        <f t="shared" si="0"/>
        <v>20</v>
      </c>
      <c r="G6" s="29">
        <f t="shared" si="1"/>
        <v>23.809523809523807</v>
      </c>
      <c r="H6" s="30">
        <f t="shared" si="2"/>
        <v>23.809523809523807</v>
      </c>
      <c r="I6" s="16" t="s">
        <v>396</v>
      </c>
    </row>
    <row r="7" spans="1:10" ht="45.75" customHeight="1">
      <c r="A7" s="7" t="s">
        <v>397</v>
      </c>
      <c r="B7" s="5" t="s">
        <v>398</v>
      </c>
      <c r="C7" s="5" t="s">
        <v>399</v>
      </c>
      <c r="D7" s="8">
        <v>3</v>
      </c>
      <c r="E7" s="8">
        <v>1</v>
      </c>
      <c r="F7" s="22">
        <f t="shared" si="0"/>
        <v>3</v>
      </c>
      <c r="G7" s="29">
        <f t="shared" si="1"/>
        <v>3.5714285714285712</v>
      </c>
      <c r="H7" s="30">
        <f t="shared" si="2"/>
        <v>3.5714285714285712</v>
      </c>
      <c r="I7" s="16" t="s">
        <v>43</v>
      </c>
    </row>
    <row r="8" spans="1:10" ht="45.75" customHeight="1">
      <c r="A8" s="7" t="s">
        <v>400</v>
      </c>
      <c r="B8" s="5" t="s">
        <v>401</v>
      </c>
      <c r="C8" s="5" t="s">
        <v>402</v>
      </c>
      <c r="D8" s="8">
        <v>3</v>
      </c>
      <c r="E8" s="8">
        <v>3</v>
      </c>
      <c r="F8" s="22">
        <f t="shared" si="0"/>
        <v>9</v>
      </c>
      <c r="G8" s="29">
        <f t="shared" si="1"/>
        <v>10.714285714285714</v>
      </c>
      <c r="H8" s="30">
        <f t="shared" si="2"/>
        <v>10.714285714285714</v>
      </c>
      <c r="I8" s="16" t="s">
        <v>120</v>
      </c>
    </row>
    <row r="9" spans="1:10" ht="45.75" customHeight="1">
      <c r="A9" s="7" t="s">
        <v>403</v>
      </c>
      <c r="B9" s="5" t="s">
        <v>404</v>
      </c>
      <c r="C9" s="5" t="s">
        <v>405</v>
      </c>
      <c r="D9" s="8">
        <v>4</v>
      </c>
      <c r="E9" s="8">
        <v>2</v>
      </c>
      <c r="F9" s="22">
        <f t="shared" si="0"/>
        <v>8</v>
      </c>
      <c r="G9" s="29">
        <f t="shared" si="1"/>
        <v>9.5238095238095237</v>
      </c>
      <c r="H9" s="30">
        <f t="shared" si="2"/>
        <v>9.5238095238095237</v>
      </c>
      <c r="I9" s="16" t="s">
        <v>396</v>
      </c>
    </row>
    <row r="10" spans="1:10" ht="45.75" customHeight="1">
      <c r="A10" s="7" t="s">
        <v>406</v>
      </c>
      <c r="B10" s="5" t="s">
        <v>407</v>
      </c>
      <c r="C10" s="5" t="s">
        <v>408</v>
      </c>
      <c r="D10" s="8">
        <v>5</v>
      </c>
      <c r="E10" s="8">
        <v>5</v>
      </c>
      <c r="F10" s="22">
        <f t="shared" si="0"/>
        <v>25</v>
      </c>
      <c r="G10" s="29">
        <f t="shared" si="1"/>
        <v>29.761904761904763</v>
      </c>
      <c r="H10" s="30">
        <f t="shared" si="2"/>
        <v>29.761904761904763</v>
      </c>
      <c r="I10" s="16" t="s">
        <v>31</v>
      </c>
    </row>
    <row r="11" spans="1:10" ht="45.75" customHeight="1">
      <c r="A11" s="7" t="s">
        <v>409</v>
      </c>
      <c r="B11" s="5" t="s">
        <v>410</v>
      </c>
      <c r="C11" s="5" t="s">
        <v>411</v>
      </c>
      <c r="D11" s="8">
        <v>2</v>
      </c>
      <c r="E11" s="8">
        <v>2</v>
      </c>
      <c r="F11" s="22">
        <f t="shared" si="0"/>
        <v>4</v>
      </c>
      <c r="G11" s="29">
        <f t="shared" si="1"/>
        <v>4.7619047619047619</v>
      </c>
      <c r="H11" s="30">
        <f t="shared" si="2"/>
        <v>4.7619047619047619</v>
      </c>
      <c r="I11" s="16" t="s">
        <v>43</v>
      </c>
    </row>
    <row r="12" spans="1:10" ht="45.75" customHeight="1">
      <c r="A12" s="7" t="s">
        <v>412</v>
      </c>
      <c r="B12" s="5" t="s">
        <v>413</v>
      </c>
      <c r="C12" s="5" t="s">
        <v>414</v>
      </c>
      <c r="D12" s="8">
        <v>3</v>
      </c>
      <c r="E12" s="8">
        <v>1</v>
      </c>
      <c r="F12" s="22">
        <f t="shared" si="0"/>
        <v>3</v>
      </c>
      <c r="G12" s="29">
        <f t="shared" si="1"/>
        <v>3.5714285714285712</v>
      </c>
      <c r="H12" s="30">
        <f t="shared" si="2"/>
        <v>3.5714285714285712</v>
      </c>
      <c r="I12" s="16" t="s">
        <v>43</v>
      </c>
    </row>
    <row r="13" spans="1:10" ht="45.75" customHeight="1">
      <c r="A13" s="7" t="s">
        <v>415</v>
      </c>
      <c r="B13" s="5" t="s">
        <v>416</v>
      </c>
      <c r="C13" s="5" t="s">
        <v>417</v>
      </c>
      <c r="D13" s="8">
        <v>2</v>
      </c>
      <c r="E13" s="8">
        <v>1</v>
      </c>
      <c r="F13" s="22">
        <f t="shared" si="0"/>
        <v>2</v>
      </c>
      <c r="G13" s="29">
        <f t="shared" si="1"/>
        <v>2.3809523809523809</v>
      </c>
      <c r="H13" s="30">
        <f t="shared" si="2"/>
        <v>2.3809523809523809</v>
      </c>
      <c r="I13" s="16" t="s">
        <v>418</v>
      </c>
    </row>
    <row r="14" spans="1:10" ht="14.4">
      <c r="A14" s="3" t="s">
        <v>419</v>
      </c>
      <c r="F14" s="31">
        <f>SUM(F5:F13)</f>
        <v>84</v>
      </c>
      <c r="G14" s="32">
        <f>SUM(G5:G13)</f>
        <v>99.999999999999986</v>
      </c>
      <c r="H14" s="33">
        <f>SUM(H5:H13)</f>
        <v>99.999999999999986</v>
      </c>
      <c r="I14" s="24" t="str">
        <f>IF(ROUND(H14,1)=100,"OK: suma 100","CORRIGE: debe sumar 100")</f>
        <v>OK: suma 100</v>
      </c>
    </row>
    <row r="16" spans="1:10" ht="15" customHeight="1">
      <c r="A16" s="40" t="s">
        <v>420</v>
      </c>
      <c r="B16" s="41"/>
      <c r="C16" s="41"/>
      <c r="D16" s="41"/>
      <c r="E16" s="41"/>
      <c r="F16" s="41"/>
      <c r="G16" s="41"/>
      <c r="H16" s="41"/>
      <c r="I16" s="41"/>
    </row>
    <row r="17" spans="1:9" ht="15" customHeight="1">
      <c r="A17" s="40" t="s">
        <v>421</v>
      </c>
      <c r="B17" s="41"/>
      <c r="C17" s="41"/>
      <c r="D17" s="41"/>
      <c r="E17" s="41"/>
      <c r="F17" s="41"/>
      <c r="G17" s="41"/>
      <c r="H17" s="41"/>
      <c r="I17" s="41"/>
    </row>
    <row r="19" spans="1:9" ht="57.75" customHeight="1">
      <c r="A19" s="42" t="s">
        <v>422</v>
      </c>
      <c r="B19" s="41"/>
      <c r="C19" s="41"/>
      <c r="D19" s="41"/>
      <c r="E19" s="41"/>
      <c r="F19" s="41"/>
      <c r="G19" s="41"/>
      <c r="H19" s="41"/>
      <c r="I19" s="41"/>
    </row>
    <row r="21" spans="1:9" ht="15.75" customHeight="1"/>
    <row r="22" spans="1:9" ht="15.75" customHeight="1"/>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7:I17"/>
    <mergeCell ref="A19:I19"/>
    <mergeCell ref="A16:I16"/>
    <mergeCell ref="A2:J2"/>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showGridLines="0" workbookViewId="0">
      <pane ySplit="4" topLeftCell="A5" activePane="bottomLeft" state="frozen"/>
      <selection pane="bottomLeft" activeCell="B6" sqref="B6"/>
    </sheetView>
  </sheetViews>
  <sheetFormatPr baseColWidth="10" defaultColWidth="14.44140625" defaultRowHeight="15" customHeight="1"/>
  <cols>
    <col min="1" max="1" width="30" customWidth="1"/>
    <col min="2" max="5" width="40" customWidth="1"/>
    <col min="6" max="26" width="8.6640625" customWidth="1"/>
  </cols>
  <sheetData>
    <row r="1" spans="1:6" ht="17.399999999999999">
      <c r="A1" s="1" t="s">
        <v>423</v>
      </c>
    </row>
    <row r="2" spans="1:6" ht="30" customHeight="1">
      <c r="A2" s="44" t="s">
        <v>424</v>
      </c>
      <c r="B2" s="41"/>
      <c r="C2" s="41"/>
      <c r="D2" s="41"/>
      <c r="E2" s="41"/>
      <c r="F2" s="41"/>
    </row>
    <row r="4" spans="1:6" ht="19.5" customHeight="1">
      <c r="A4" s="2" t="s">
        <v>381</v>
      </c>
      <c r="B4" s="2" t="s">
        <v>425</v>
      </c>
      <c r="C4" s="2" t="s">
        <v>426</v>
      </c>
      <c r="D4" s="2" t="s">
        <v>427</v>
      </c>
      <c r="E4" s="2" t="s">
        <v>428</v>
      </c>
    </row>
    <row r="5" spans="1:6" ht="45.75" customHeight="1">
      <c r="A5" s="7" t="s">
        <v>389</v>
      </c>
      <c r="B5" s="5" t="s">
        <v>429</v>
      </c>
      <c r="C5" s="5" t="s">
        <v>430</v>
      </c>
      <c r="D5" s="5" t="s">
        <v>431</v>
      </c>
      <c r="E5" s="5" t="s">
        <v>432</v>
      </c>
    </row>
    <row r="6" spans="1:6" ht="45.75" customHeight="1">
      <c r="A6" s="7" t="s">
        <v>393</v>
      </c>
      <c r="B6" s="5" t="s">
        <v>433</v>
      </c>
      <c r="C6" s="5" t="s">
        <v>434</v>
      </c>
      <c r="D6" s="5" t="s">
        <v>435</v>
      </c>
      <c r="E6" s="5" t="s">
        <v>436</v>
      </c>
    </row>
    <row r="7" spans="1:6" ht="45.75" customHeight="1">
      <c r="A7" s="7" t="s">
        <v>397</v>
      </c>
      <c r="B7" s="5" t="s">
        <v>437</v>
      </c>
      <c r="C7" s="5" t="s">
        <v>438</v>
      </c>
      <c r="D7" s="5" t="s">
        <v>439</v>
      </c>
      <c r="E7" s="5" t="s">
        <v>440</v>
      </c>
    </row>
    <row r="8" spans="1:6" ht="45.75" customHeight="1">
      <c r="A8" s="7" t="s">
        <v>400</v>
      </c>
      <c r="B8" s="5" t="s">
        <v>441</v>
      </c>
      <c r="C8" s="5" t="s">
        <v>442</v>
      </c>
      <c r="D8" s="5" t="s">
        <v>443</v>
      </c>
      <c r="E8" s="5" t="s">
        <v>444</v>
      </c>
    </row>
    <row r="9" spans="1:6" ht="45.75" customHeight="1">
      <c r="A9" s="7" t="s">
        <v>403</v>
      </c>
      <c r="B9" s="5" t="s">
        <v>445</v>
      </c>
      <c r="C9" s="5" t="s">
        <v>446</v>
      </c>
      <c r="D9" s="5" t="s">
        <v>447</v>
      </c>
      <c r="E9" s="5" t="s">
        <v>448</v>
      </c>
    </row>
    <row r="10" spans="1:6" ht="45.75" customHeight="1">
      <c r="A10" s="7" t="s">
        <v>406</v>
      </c>
      <c r="B10" s="5" t="s">
        <v>449</v>
      </c>
      <c r="C10" s="5" t="s">
        <v>450</v>
      </c>
      <c r="D10" s="5" t="s">
        <v>451</v>
      </c>
      <c r="E10" s="5" t="s">
        <v>452</v>
      </c>
    </row>
    <row r="11" spans="1:6" ht="45.75" customHeight="1">
      <c r="A11" s="7" t="s">
        <v>409</v>
      </c>
      <c r="B11" s="5" t="s">
        <v>453</v>
      </c>
      <c r="C11" s="5" t="s">
        <v>454</v>
      </c>
      <c r="D11" s="5" t="s">
        <v>455</v>
      </c>
      <c r="E11" s="5" t="s">
        <v>456</v>
      </c>
    </row>
    <row r="12" spans="1:6" ht="45.75" customHeight="1">
      <c r="A12" s="7" t="s">
        <v>412</v>
      </c>
      <c r="B12" s="5" t="s">
        <v>457</v>
      </c>
      <c r="C12" s="5" t="s">
        <v>458</v>
      </c>
      <c r="D12" s="5" t="s">
        <v>459</v>
      </c>
      <c r="E12" s="5" t="s">
        <v>460</v>
      </c>
    </row>
    <row r="13" spans="1:6" ht="45.75" customHeight="1">
      <c r="A13" s="7" t="s">
        <v>415</v>
      </c>
      <c r="B13" s="5" t="s">
        <v>461</v>
      </c>
      <c r="C13" s="5" t="s">
        <v>462</v>
      </c>
      <c r="D13" s="5" t="s">
        <v>463</v>
      </c>
      <c r="E13" s="5" t="s">
        <v>464</v>
      </c>
    </row>
    <row r="15" spans="1:6" ht="15" customHeight="1">
      <c r="A15" s="49" t="s">
        <v>465</v>
      </c>
      <c r="B15" s="41"/>
      <c r="C15" s="41"/>
      <c r="D15" s="41"/>
      <c r="E15" s="41"/>
    </row>
    <row r="17" spans="1:5" ht="31.5" customHeight="1">
      <c r="A17" s="42" t="s">
        <v>466</v>
      </c>
      <c r="B17" s="41"/>
      <c r="C17" s="41"/>
      <c r="D17" s="41"/>
      <c r="E17" s="41"/>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F2"/>
    <mergeCell ref="A15:E15"/>
    <mergeCell ref="A17:E17"/>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showGridLines="0" tabSelected="1" workbookViewId="0">
      <pane ySplit="4" topLeftCell="A5" activePane="bottomLeft" state="frozen"/>
      <selection pane="bottomLeft" activeCell="F4" sqref="F4"/>
    </sheetView>
  </sheetViews>
  <sheetFormatPr baseColWidth="10" defaultColWidth="14.44140625" defaultRowHeight="15" customHeight="1"/>
  <cols>
    <col min="1" max="1" width="38" customWidth="1"/>
    <col min="2" max="2" width="12" customWidth="1"/>
    <col min="3" max="26" width="14" customWidth="1"/>
  </cols>
  <sheetData>
    <row r="1" spans="1:14" ht="17.399999999999999">
      <c r="A1" s="1" t="s">
        <v>467</v>
      </c>
    </row>
    <row r="2" spans="1:14" ht="30" customHeight="1">
      <c r="A2" s="44" t="s">
        <v>468</v>
      </c>
      <c r="B2" s="41"/>
      <c r="C2" s="41"/>
      <c r="D2" s="41"/>
      <c r="E2" s="41"/>
      <c r="F2" s="41"/>
      <c r="G2" s="41"/>
      <c r="H2" s="41"/>
    </row>
    <row r="4" spans="1:14" ht="30" customHeight="1">
      <c r="A4" s="2" t="s">
        <v>381</v>
      </c>
      <c r="B4" s="2" t="s">
        <v>469</v>
      </c>
      <c r="C4" s="2" t="s">
        <v>248</v>
      </c>
      <c r="D4" s="2" t="s">
        <v>249</v>
      </c>
      <c r="E4" s="2" t="s">
        <v>250</v>
      </c>
      <c r="F4" s="2" t="s">
        <v>251</v>
      </c>
      <c r="G4" s="2" t="s">
        <v>252</v>
      </c>
      <c r="H4" s="2" t="s">
        <v>253</v>
      </c>
      <c r="I4" s="2" t="s">
        <v>254</v>
      </c>
      <c r="J4" s="2" t="s">
        <v>255</v>
      </c>
      <c r="K4" s="2" t="s">
        <v>256</v>
      </c>
      <c r="L4" s="2" t="s">
        <v>257</v>
      </c>
      <c r="M4" s="2" t="s">
        <v>258</v>
      </c>
      <c r="N4" s="2" t="s">
        <v>259</v>
      </c>
    </row>
    <row r="5" spans="1:14" ht="25.5" customHeight="1">
      <c r="A5" s="5" t="s">
        <v>389</v>
      </c>
      <c r="B5" s="34">
        <f>Pesos!H5</f>
        <v>11.904761904761903</v>
      </c>
      <c r="C5" s="8"/>
      <c r="D5" s="8">
        <v>4</v>
      </c>
      <c r="E5" s="8">
        <v>4</v>
      </c>
      <c r="F5" s="8">
        <v>4</v>
      </c>
      <c r="G5" s="8"/>
      <c r="H5" s="8">
        <v>4</v>
      </c>
      <c r="I5" s="8">
        <v>4</v>
      </c>
      <c r="J5" s="8">
        <v>4</v>
      </c>
      <c r="K5" s="8">
        <v>4</v>
      </c>
      <c r="L5" s="8">
        <v>4</v>
      </c>
      <c r="M5" s="8">
        <v>4</v>
      </c>
      <c r="N5" s="8">
        <v>4</v>
      </c>
    </row>
    <row r="6" spans="1:14" ht="25.5" customHeight="1">
      <c r="A6" s="5" t="s">
        <v>393</v>
      </c>
      <c r="B6" s="34">
        <f>Pesos!H6</f>
        <v>23.809523809523807</v>
      </c>
      <c r="C6" s="8"/>
      <c r="D6" s="8">
        <v>3</v>
      </c>
      <c r="E6" s="8">
        <v>3</v>
      </c>
      <c r="F6" s="8">
        <v>5</v>
      </c>
      <c r="G6" s="8"/>
      <c r="H6" s="8">
        <v>5</v>
      </c>
      <c r="I6" s="8">
        <v>3</v>
      </c>
      <c r="J6" s="8">
        <v>3</v>
      </c>
      <c r="K6" s="8">
        <v>3</v>
      </c>
      <c r="L6" s="8">
        <v>3</v>
      </c>
      <c r="M6" s="8">
        <v>3</v>
      </c>
      <c r="N6" s="8">
        <v>3</v>
      </c>
    </row>
    <row r="7" spans="1:14" ht="25.5" customHeight="1">
      <c r="A7" s="5" t="s">
        <v>397</v>
      </c>
      <c r="B7" s="34">
        <f>Pesos!H7</f>
        <v>3.5714285714285712</v>
      </c>
      <c r="C7" s="8"/>
      <c r="D7" s="8">
        <v>2</v>
      </c>
      <c r="E7" s="8">
        <v>2</v>
      </c>
      <c r="F7" s="8">
        <v>4</v>
      </c>
      <c r="G7" s="8"/>
      <c r="H7" s="8">
        <v>4</v>
      </c>
      <c r="I7" s="8">
        <v>4</v>
      </c>
      <c r="J7" s="8">
        <v>1</v>
      </c>
      <c r="K7" s="8">
        <v>1</v>
      </c>
      <c r="L7" s="8">
        <v>1</v>
      </c>
      <c r="M7" s="8">
        <v>1</v>
      </c>
      <c r="N7" s="8">
        <v>1</v>
      </c>
    </row>
    <row r="8" spans="1:14" ht="25.5" customHeight="1">
      <c r="A8" s="5" t="s">
        <v>400</v>
      </c>
      <c r="B8" s="34">
        <f>Pesos!H8</f>
        <v>10.714285714285714</v>
      </c>
      <c r="C8" s="8"/>
      <c r="D8" s="8">
        <v>5</v>
      </c>
      <c r="E8" s="8">
        <v>4</v>
      </c>
      <c r="F8" s="8">
        <v>5</v>
      </c>
      <c r="G8" s="8"/>
      <c r="H8" s="8">
        <v>5</v>
      </c>
      <c r="I8" s="8">
        <v>5</v>
      </c>
      <c r="J8" s="8">
        <v>5</v>
      </c>
      <c r="K8" s="8">
        <v>5</v>
      </c>
      <c r="L8" s="8">
        <v>5</v>
      </c>
      <c r="M8" s="8">
        <v>4</v>
      </c>
      <c r="N8" s="8">
        <v>4</v>
      </c>
    </row>
    <row r="9" spans="1:14" ht="25.5" customHeight="1">
      <c r="A9" s="5" t="s">
        <v>403</v>
      </c>
      <c r="B9" s="34">
        <f>Pesos!H9</f>
        <v>9.5238095238095237</v>
      </c>
      <c r="C9" s="8"/>
      <c r="D9" s="8">
        <v>4</v>
      </c>
      <c r="E9" s="8">
        <v>3</v>
      </c>
      <c r="F9" s="8">
        <v>2</v>
      </c>
      <c r="G9" s="8"/>
      <c r="H9" s="8">
        <v>3</v>
      </c>
      <c r="I9" s="8">
        <v>4</v>
      </c>
      <c r="J9" s="8">
        <v>5</v>
      </c>
      <c r="K9" s="8">
        <v>5</v>
      </c>
      <c r="L9" s="8">
        <v>5</v>
      </c>
      <c r="M9" s="8">
        <v>5</v>
      </c>
      <c r="N9" s="8">
        <v>5</v>
      </c>
    </row>
    <row r="10" spans="1:14" ht="25.5" customHeight="1">
      <c r="A10" s="5" t="s">
        <v>406</v>
      </c>
      <c r="B10" s="34">
        <f>Pesos!H10</f>
        <v>29.761904761904763</v>
      </c>
      <c r="C10" s="8"/>
      <c r="D10" s="8">
        <v>3</v>
      </c>
      <c r="E10" s="8">
        <v>4</v>
      </c>
      <c r="F10" s="8">
        <v>5</v>
      </c>
      <c r="G10" s="8"/>
      <c r="H10" s="8">
        <v>3</v>
      </c>
      <c r="I10" s="8">
        <v>5</v>
      </c>
      <c r="J10" s="8">
        <v>3</v>
      </c>
      <c r="K10" s="8">
        <v>3</v>
      </c>
      <c r="L10" s="8">
        <v>4</v>
      </c>
      <c r="M10" s="8">
        <v>5</v>
      </c>
      <c r="N10" s="8">
        <v>4</v>
      </c>
    </row>
    <row r="11" spans="1:14" ht="25.5" customHeight="1">
      <c r="A11" s="5" t="s">
        <v>409</v>
      </c>
      <c r="B11" s="34">
        <f>Pesos!H11</f>
        <v>4.7619047619047619</v>
      </c>
      <c r="C11" s="8"/>
      <c r="D11" s="8">
        <v>3</v>
      </c>
      <c r="E11" s="8">
        <v>3</v>
      </c>
      <c r="F11" s="8">
        <v>3</v>
      </c>
      <c r="G11" s="8"/>
      <c r="H11" s="8">
        <v>3</v>
      </c>
      <c r="I11" s="8">
        <v>3</v>
      </c>
      <c r="J11" s="8">
        <v>3</v>
      </c>
      <c r="K11" s="8">
        <v>3</v>
      </c>
      <c r="L11" s="8">
        <v>3</v>
      </c>
      <c r="M11" s="8">
        <v>3</v>
      </c>
      <c r="N11" s="8">
        <v>3</v>
      </c>
    </row>
    <row r="12" spans="1:14" ht="25.5" customHeight="1">
      <c r="A12" s="5" t="s">
        <v>412</v>
      </c>
      <c r="B12" s="34">
        <f>Pesos!H12</f>
        <v>3.5714285714285712</v>
      </c>
      <c r="C12" s="8"/>
      <c r="D12" s="8">
        <v>5</v>
      </c>
      <c r="E12" s="8">
        <v>5</v>
      </c>
      <c r="F12" s="8">
        <v>2</v>
      </c>
      <c r="G12" s="8"/>
      <c r="H12" s="8">
        <v>2</v>
      </c>
      <c r="I12" s="8">
        <v>4</v>
      </c>
      <c r="J12" s="8">
        <v>5</v>
      </c>
      <c r="K12" s="8">
        <v>4</v>
      </c>
      <c r="L12" s="8">
        <v>3</v>
      </c>
      <c r="M12" s="8">
        <v>4</v>
      </c>
      <c r="N12" s="8">
        <v>2</v>
      </c>
    </row>
    <row r="13" spans="1:14" ht="25.5" customHeight="1">
      <c r="A13" s="5" t="s">
        <v>415</v>
      </c>
      <c r="B13" s="34">
        <f>Pesos!H13</f>
        <v>2.3809523809523809</v>
      </c>
      <c r="C13" s="8"/>
      <c r="D13" s="8">
        <v>5</v>
      </c>
      <c r="E13" s="8">
        <v>5</v>
      </c>
      <c r="F13" s="8">
        <v>3</v>
      </c>
      <c r="G13" s="8"/>
      <c r="H13" s="8">
        <v>3</v>
      </c>
      <c r="I13" s="8">
        <v>4</v>
      </c>
      <c r="J13" s="8">
        <v>5</v>
      </c>
      <c r="K13" s="8">
        <v>4</v>
      </c>
      <c r="L13" s="8">
        <v>5</v>
      </c>
      <c r="M13" s="8">
        <v>3</v>
      </c>
      <c r="N13" s="8">
        <v>3</v>
      </c>
    </row>
    <row r="15" spans="1:14" ht="14.4">
      <c r="A15" s="3" t="s">
        <v>470</v>
      </c>
      <c r="C15" s="29" t="str">
        <f t="shared" ref="C15:N15" si="0">IF(COUNT(C5:C13)=0,"",SUMPRODUCT($B$5:$B$13,C5:C13)/5)</f>
        <v/>
      </c>
      <c r="D15" s="29">
        <f t="shared" si="0"/>
        <v>70.238095238095241</v>
      </c>
      <c r="E15" s="29">
        <f t="shared" si="0"/>
        <v>72.142857142857139</v>
      </c>
      <c r="F15" s="29">
        <f t="shared" si="0"/>
        <v>86.190476190476204</v>
      </c>
      <c r="G15" s="29" t="str">
        <f t="shared" si="0"/>
        <v/>
      </c>
      <c r="H15" s="29">
        <f t="shared" si="0"/>
        <v>76.19047619047619</v>
      </c>
      <c r="I15" s="29">
        <f t="shared" si="0"/>
        <v>82.38095238095238</v>
      </c>
      <c r="J15" s="29">
        <f t="shared" si="0"/>
        <v>71.428571428571416</v>
      </c>
      <c r="K15" s="29">
        <f t="shared" si="0"/>
        <v>70.238095238095227</v>
      </c>
      <c r="L15" s="29">
        <f t="shared" si="0"/>
        <v>75.952380952380949</v>
      </c>
      <c r="M15" s="29">
        <f t="shared" si="0"/>
        <v>79.523809523809533</v>
      </c>
      <c r="N15" s="29">
        <f t="shared" si="0"/>
        <v>72.142857142857139</v>
      </c>
    </row>
    <row r="16" spans="1:14" ht="14.4">
      <c r="A16" s="3" t="s">
        <v>471</v>
      </c>
      <c r="C16" s="36" t="str">
        <f>Umbrales!C23</f>
        <v>ELIMINADO</v>
      </c>
      <c r="D16" s="36" t="str">
        <f>Umbrales!E23</f>
        <v>PASA</v>
      </c>
      <c r="E16" s="36" t="str">
        <f>Umbrales!G23</f>
        <v>PASA</v>
      </c>
      <c r="F16" s="36" t="str">
        <f>Umbrales!I23</f>
        <v>PASA</v>
      </c>
      <c r="G16" s="36" t="str">
        <f>Umbrales!K23</f>
        <v>ELIMINADO</v>
      </c>
      <c r="H16" s="36" t="str">
        <f>Umbrales!M23</f>
        <v>PASA</v>
      </c>
      <c r="I16" s="36" t="str">
        <f>Umbrales!O23</f>
        <v>PASA</v>
      </c>
      <c r="J16" s="36" t="str">
        <f>Umbrales!Q23</f>
        <v>PASA</v>
      </c>
      <c r="K16" s="36" t="str">
        <f>Umbrales!S23</f>
        <v>PASA</v>
      </c>
      <c r="L16" s="36" t="str">
        <f>Umbrales!U23</f>
        <v>PASA</v>
      </c>
      <c r="M16" s="36" t="str">
        <f>Umbrales!W23</f>
        <v>PASA</v>
      </c>
      <c r="N16" s="36" t="str">
        <f>Umbrales!Y23</f>
        <v>PASA</v>
      </c>
    </row>
    <row r="17" spans="1:14" ht="14.4">
      <c r="A17" s="3" t="s">
        <v>472</v>
      </c>
      <c r="C17" s="37" t="str">
        <f t="shared" ref="C17:N17" si="1">IF(AND(C16="PASA",ISNUMBER(C15)),C15,"")</f>
        <v/>
      </c>
      <c r="D17" s="37">
        <f t="shared" si="1"/>
        <v>70.238095238095241</v>
      </c>
      <c r="E17" s="37">
        <f t="shared" si="1"/>
        <v>72.142857142857139</v>
      </c>
      <c r="F17" s="37">
        <f t="shared" si="1"/>
        <v>86.190476190476204</v>
      </c>
      <c r="G17" s="37" t="str">
        <f t="shared" si="1"/>
        <v/>
      </c>
      <c r="H17" s="37">
        <f t="shared" si="1"/>
        <v>76.19047619047619</v>
      </c>
      <c r="I17" s="37">
        <f t="shared" si="1"/>
        <v>82.38095238095238</v>
      </c>
      <c r="J17" s="37">
        <f t="shared" si="1"/>
        <v>71.428571428571416</v>
      </c>
      <c r="K17" s="37">
        <f t="shared" si="1"/>
        <v>70.238095238095227</v>
      </c>
      <c r="L17" s="37">
        <f t="shared" si="1"/>
        <v>75.952380952380949</v>
      </c>
      <c r="M17" s="37">
        <f t="shared" si="1"/>
        <v>79.523809523809533</v>
      </c>
      <c r="N17" s="37">
        <f t="shared" si="1"/>
        <v>72.142857142857139</v>
      </c>
    </row>
    <row r="18" spans="1:14" ht="14.4">
      <c r="A18" s="3" t="s">
        <v>473</v>
      </c>
      <c r="C18" s="22" t="str">
        <f t="shared" ref="C18:N18" si="2">IFERROR(RANK(C17,$C$17:$N$17,0),"—")</f>
        <v>—</v>
      </c>
      <c r="D18" s="22">
        <f t="shared" si="2"/>
        <v>9</v>
      </c>
      <c r="E18" s="22">
        <f t="shared" si="2"/>
        <v>6</v>
      </c>
      <c r="F18" s="22">
        <f t="shared" si="2"/>
        <v>1</v>
      </c>
      <c r="G18" s="22" t="str">
        <f t="shared" si="2"/>
        <v>—</v>
      </c>
      <c r="H18" s="22">
        <f t="shared" si="2"/>
        <v>4</v>
      </c>
      <c r="I18" s="22">
        <f t="shared" si="2"/>
        <v>2</v>
      </c>
      <c r="J18" s="22">
        <f t="shared" si="2"/>
        <v>8</v>
      </c>
      <c r="K18" s="22">
        <f t="shared" si="2"/>
        <v>10</v>
      </c>
      <c r="L18" s="22">
        <f t="shared" si="2"/>
        <v>5</v>
      </c>
      <c r="M18" s="22">
        <f t="shared" si="2"/>
        <v>3</v>
      </c>
      <c r="N18" s="22">
        <f t="shared" si="2"/>
        <v>6</v>
      </c>
    </row>
    <row r="20" spans="1:14" ht="14.4">
      <c r="A20" s="38" t="s">
        <v>474</v>
      </c>
      <c r="B20" s="54" t="str">
        <f>IFERROR(INDEX($C$4:$N$4,MATCH(MAX($C$17:$N$17),$C$17:$N$17,0)),"faltan notas")</f>
        <v>STM32H743ZI</v>
      </c>
      <c r="C20" s="46"/>
      <c r="D20" s="47"/>
    </row>
    <row r="21" spans="1:14" ht="15.75" customHeight="1">
      <c r="A21" s="3" t="s">
        <v>475</v>
      </c>
      <c r="B21" s="39">
        <f>IFERROR(MAX($C$17:$N$17)-LARGE($C$17:$N$17,2),"—")</f>
        <v>3.8095238095238244</v>
      </c>
    </row>
    <row r="22" spans="1:14" ht="30" customHeight="1">
      <c r="A22" s="42" t="str">
        <f>IF(ISNUMBER(B21),IF(B21&lt;5,"Margen menor de 5 puntos: es un empate técnico. No presumas de ganador; decide con un criterio de desempate declarado (continuidad con el equipo o riesgo de calendario) y dilo así.","Margen suficiente para sostener la elección."),"")</f>
        <v>Margen menor de 5 puntos: es un empate técnico. No presumas de ganador; decide con un criterio de desempate declarado (continuidad con el equipo o riesgo de calendario) y dilo así.</v>
      </c>
      <c r="B22" s="41"/>
      <c r="C22" s="41"/>
      <c r="D22" s="41"/>
      <c r="E22" s="41"/>
      <c r="F22" s="41"/>
      <c r="G22" s="41"/>
    </row>
    <row r="23" spans="1:14" ht="15.75" customHeight="1"/>
    <row r="24" spans="1:14" ht="43.5" customHeight="1">
      <c r="A24" s="49" t="s">
        <v>476</v>
      </c>
      <c r="B24" s="41"/>
      <c r="C24" s="41"/>
      <c r="D24" s="41"/>
      <c r="E24" s="41"/>
      <c r="F24" s="41"/>
      <c r="G24" s="41"/>
    </row>
    <row r="25" spans="1:14" ht="15.75" customHeight="1"/>
    <row r="26" spans="1:14" ht="15.75" customHeight="1">
      <c r="A26" t="s">
        <v>477</v>
      </c>
    </row>
    <row r="27" spans="1:14" ht="15.75" customHeight="1">
      <c r="A27" t="s">
        <v>389</v>
      </c>
      <c r="B27" t="s">
        <v>478</v>
      </c>
    </row>
    <row r="28" spans="1:14" ht="15.75" customHeight="1">
      <c r="A28" t="s">
        <v>393</v>
      </c>
      <c r="B28" t="s">
        <v>479</v>
      </c>
    </row>
    <row r="29" spans="1:14" ht="15.75" customHeight="1">
      <c r="A29" t="s">
        <v>397</v>
      </c>
      <c r="B29" t="s">
        <v>480</v>
      </c>
    </row>
    <row r="30" spans="1:14" ht="15.75" customHeight="1">
      <c r="A30" t="s">
        <v>400</v>
      </c>
      <c r="B30" t="s">
        <v>481</v>
      </c>
    </row>
    <row r="31" spans="1:14" ht="15.75" customHeight="1">
      <c r="A31" t="s">
        <v>403</v>
      </c>
      <c r="B31" t="s">
        <v>482</v>
      </c>
    </row>
    <row r="32" spans="1:14" ht="15.75" customHeight="1">
      <c r="A32" t="s">
        <v>406</v>
      </c>
      <c r="B32" t="s">
        <v>483</v>
      </c>
    </row>
    <row r="33" spans="1:2" ht="15.75" customHeight="1">
      <c r="A33" t="s">
        <v>409</v>
      </c>
      <c r="B33" t="s">
        <v>484</v>
      </c>
    </row>
    <row r="34" spans="1:2" ht="15.75" customHeight="1">
      <c r="A34" t="s">
        <v>412</v>
      </c>
      <c r="B34" t="s">
        <v>485</v>
      </c>
    </row>
    <row r="35" spans="1:2" ht="15.75" customHeight="1">
      <c r="A35" t="s">
        <v>415</v>
      </c>
      <c r="B35" t="s">
        <v>486</v>
      </c>
    </row>
    <row r="36" spans="1:2" ht="15.75" customHeight="1">
      <c r="A36" t="s">
        <v>487</v>
      </c>
      <c r="B36" t="s">
        <v>488</v>
      </c>
    </row>
    <row r="37" spans="1:2" ht="15.75" customHeight="1"/>
    <row r="38" spans="1:2" ht="15.75" customHeight="1"/>
    <row r="39" spans="1:2" ht="15.75" customHeight="1"/>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4:G24"/>
    <mergeCell ref="A2:H2"/>
    <mergeCell ref="A22:G22"/>
    <mergeCell ref="B20:D20"/>
  </mergeCell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0"/>
  <sheetViews>
    <sheetView showGridLines="0" workbookViewId="0">
      <pane ySplit="4" topLeftCell="A5" activePane="bottomLeft" state="frozen"/>
      <selection pane="bottomLeft" activeCell="B6" sqref="B6"/>
    </sheetView>
  </sheetViews>
  <sheetFormatPr baseColWidth="10" defaultColWidth="14.44140625" defaultRowHeight="15" customHeight="1"/>
  <cols>
    <col min="1" max="1" width="46" customWidth="1"/>
    <col min="2" max="13" width="14" customWidth="1"/>
    <col min="14" max="14" width="16" customWidth="1"/>
    <col min="15" max="26" width="14" customWidth="1"/>
  </cols>
  <sheetData>
    <row r="1" spans="1:14" ht="17.399999999999999">
      <c r="A1" s="1" t="s">
        <v>489</v>
      </c>
    </row>
    <row r="2" spans="1:14" ht="30" customHeight="1">
      <c r="A2" s="44" t="s">
        <v>490</v>
      </c>
      <c r="B2" s="41"/>
      <c r="C2" s="41"/>
      <c r="D2" s="41"/>
      <c r="E2" s="41"/>
      <c r="F2" s="41"/>
      <c r="G2" s="41"/>
      <c r="H2" s="41"/>
    </row>
    <row r="4" spans="1:14" ht="25.5" customHeight="1">
      <c r="A4" s="2" t="s">
        <v>491</v>
      </c>
      <c r="B4" s="2" t="s">
        <v>248</v>
      </c>
      <c r="C4" s="2" t="s">
        <v>249</v>
      </c>
      <c r="D4" s="2" t="s">
        <v>250</v>
      </c>
      <c r="E4" s="2" t="s">
        <v>251</v>
      </c>
      <c r="F4" s="2" t="s">
        <v>252</v>
      </c>
      <c r="G4" s="2" t="s">
        <v>253</v>
      </c>
      <c r="H4" s="2" t="s">
        <v>254</v>
      </c>
      <c r="I4" s="2" t="s">
        <v>255</v>
      </c>
      <c r="J4" s="2" t="s">
        <v>256</v>
      </c>
      <c r="K4" s="2" t="s">
        <v>257</v>
      </c>
      <c r="L4" s="2" t="s">
        <v>258</v>
      </c>
      <c r="M4" s="2" t="s">
        <v>259</v>
      </c>
      <c r="N4" s="2" t="s">
        <v>474</v>
      </c>
    </row>
    <row r="5" spans="1:14" ht="21.75" customHeight="1">
      <c r="A5" s="3" t="s">
        <v>492</v>
      </c>
      <c r="B5" s="34" t="str">
        <f>Matriz!C17</f>
        <v/>
      </c>
      <c r="C5" s="34">
        <f>Matriz!D17</f>
        <v>70.238095238095241</v>
      </c>
      <c r="D5" s="34">
        <f>Matriz!E17</f>
        <v>72.142857142857139</v>
      </c>
      <c r="E5" s="34">
        <f>Matriz!F17</f>
        <v>86.190476190476204</v>
      </c>
      <c r="F5" s="34" t="str">
        <f>Matriz!G17</f>
        <v/>
      </c>
      <c r="G5" s="35">
        <f>Matriz!H17</f>
        <v>76.19047619047619</v>
      </c>
      <c r="H5">
        <f>Matriz!I17</f>
        <v>82.38095238095238</v>
      </c>
      <c r="I5" s="35">
        <f>Matriz!J17</f>
        <v>71.428571428571416</v>
      </c>
      <c r="J5">
        <f>Matriz!K17</f>
        <v>70.238095238095227</v>
      </c>
      <c r="K5">
        <f>Matriz!L17</f>
        <v>75.952380952380949</v>
      </c>
      <c r="L5">
        <f>Matriz!M17</f>
        <v>79.523809523809533</v>
      </c>
      <c r="M5">
        <f>Matriz!N17</f>
        <v>72.142857142857139</v>
      </c>
      <c r="N5" s="34" t="str">
        <f t="shared" ref="N5:N15" si="0">IFERROR(INDEX($B$4:$M$4,MATCH(MAX($B5:$M5),$B5:$M5,0)),"—")</f>
        <v>STM32H743ZI</v>
      </c>
    </row>
    <row r="6" spans="1:14" ht="21.75" customHeight="1">
      <c r="A6" s="6" t="s">
        <v>493</v>
      </c>
      <c r="B6" s="29" t="str">
        <f>IF(ISNUMBER(Matriz!C17),AVERAGE(Matriz!C5:C13)/5*100,"")</f>
        <v/>
      </c>
      <c r="C6" s="29">
        <f>IF(ISNUMBER(Matriz!D17),AVERAGE(Matriz!D5:D13)/5*100,"")</f>
        <v>75.555555555555557</v>
      </c>
      <c r="D6" s="29">
        <f>IF(ISNUMBER(Matriz!E17),AVERAGE(Matriz!E5:E13)/5*100,"")</f>
        <v>73.333333333333329</v>
      </c>
      <c r="E6" s="29">
        <f>IF(ISNUMBER(Matriz!F17),AVERAGE(Matriz!F5:F13)/5*100,"")</f>
        <v>73.333333333333329</v>
      </c>
      <c r="F6" s="29" t="str">
        <f>IF(ISNUMBER(Matriz!G17),AVERAGE(Matriz!G5:G13)/5*100,"")</f>
        <v/>
      </c>
      <c r="G6" s="35">
        <f>IF(ISNUMBER(Matriz!H17),AVERAGE(Matriz!H5:H13)/5*100,"")</f>
        <v>71.1111111111111</v>
      </c>
      <c r="H6">
        <f>IF(ISNUMBER(Matriz!I17),AVERAGE(Matriz!I5:I13)/5*100,"")</f>
        <v>80</v>
      </c>
      <c r="I6" s="35">
        <f>IF(ISNUMBER(Matriz!J17),AVERAGE(Matriz!J5:J13)/5*100,"")</f>
        <v>75.555555555555557</v>
      </c>
      <c r="J6">
        <f>IF(ISNUMBER(Matriz!K17),AVERAGE(Matriz!K5:K13)/5*100,"")</f>
        <v>71.1111111111111</v>
      </c>
      <c r="K6">
        <f>IF(ISNUMBER(Matriz!L17),AVERAGE(Matriz!L5:L13)/5*100,"")</f>
        <v>73.333333333333329</v>
      </c>
      <c r="L6">
        <f>IF(ISNUMBER(Matriz!M17),AVERAGE(Matriz!M5:M13)/5*100,"")</f>
        <v>71.1111111111111</v>
      </c>
      <c r="M6">
        <f>IF(ISNUMBER(Matriz!N17),AVERAGE(Matriz!N5:N13)/5*100,"")</f>
        <v>64.444444444444443</v>
      </c>
      <c r="N6" s="34" t="str">
        <f t="shared" si="0"/>
        <v>STM32H563ZI</v>
      </c>
    </row>
    <row r="7" spans="1:14" ht="21.75" customHeight="1">
      <c r="A7" s="4" t="s">
        <v>494</v>
      </c>
      <c r="B7" s="29" t="str">
        <f>IF(ISNUMBER(Matriz!C17),(SUMPRODUCT(Matriz!$B$5:$B$13,Matriz!C5:C13)-Matriz!$B$5*Matriz!C5)/(100-Matriz!$B$5)*20,"")</f>
        <v/>
      </c>
      <c r="C7" s="29">
        <f>IF(ISNUMBER(Matriz!D17),(SUMPRODUCT(Matriz!$B$5:$B$13,Matriz!D5:D13)-Matriz!$B$5*Matriz!D5)/(100-Matriz!$B$5)*20,"")</f>
        <v>68.918918918918919</v>
      </c>
      <c r="D7" s="29">
        <f>IF(ISNUMBER(Matriz!E17),(SUMPRODUCT(Matriz!$B$5:$B$13,Matriz!E5:E13)-Matriz!$B$5*Matriz!E5)/(100-Matriz!$B$5)*20,"")</f>
        <v>71.081081081081066</v>
      </c>
      <c r="E7" s="29">
        <f>IF(ISNUMBER(Matriz!F17),(SUMPRODUCT(Matriz!$B$5:$B$13,Matriz!F5:F13)-Matriz!$B$5*Matriz!F5)/(100-Matriz!$B$5)*20,"")</f>
        <v>87.027027027027032</v>
      </c>
      <c r="F7" s="29" t="str">
        <f>IF(ISNUMBER(Matriz!G17),(SUMPRODUCT(Matriz!$B$5:$B$13,Matriz!G5:G13)-Matriz!$B$5*Matriz!G5)/(100-Matriz!$B$5)*20,"")</f>
        <v/>
      </c>
      <c r="G7" s="35">
        <f>IF(ISNUMBER(Matriz!H17),(SUMPRODUCT(Matriz!$B$5:$B$13,Matriz!H5:H13)-Matriz!$B$5*Matriz!H5)/(100-Matriz!$B$5)*20,"")</f>
        <v>75.675675675675677</v>
      </c>
      <c r="H7">
        <f>IF(ISNUMBER(Matriz!I17),(SUMPRODUCT(Matriz!$B$5:$B$13,Matriz!I5:I13)-Matriz!$B$5*Matriz!I5)/(100-Matriz!$B$5)*20,"")</f>
        <v>82.702702702702709</v>
      </c>
      <c r="I7" s="35">
        <f>IF(ISNUMBER(Matriz!J17),(SUMPRODUCT(Matriz!$B$5:$B$13,Matriz!J5:J13)-Matriz!$B$5*Matriz!J5)/(100-Matriz!$B$5)*20,"")</f>
        <v>70.27027027027026</v>
      </c>
      <c r="J7">
        <f>IF(ISNUMBER(Matriz!K17),(SUMPRODUCT(Matriz!$B$5:$B$13,Matriz!K5:K13)-Matriz!$B$5*Matriz!K5)/(100-Matriz!$B$5)*20,"")</f>
        <v>68.918918918918905</v>
      </c>
      <c r="K7">
        <f>IF(ISNUMBER(Matriz!L17),(SUMPRODUCT(Matriz!$B$5:$B$13,Matriz!L5:L13)-Matriz!$B$5*Matriz!L5)/(100-Matriz!$B$5)*20,"")</f>
        <v>75.405405405405403</v>
      </c>
      <c r="L7">
        <f>IF(ISNUMBER(Matriz!M17),(SUMPRODUCT(Matriz!$B$5:$B$13,Matriz!M5:M13)-Matriz!$B$5*Matriz!M5)/(100-Matriz!$B$5)*20,"")</f>
        <v>79.459459459459467</v>
      </c>
      <c r="M7">
        <f>IF(ISNUMBER(Matriz!N17),(SUMPRODUCT(Matriz!$B$5:$B$13,Matriz!N5:N13)-Matriz!$B$5*Matriz!N5)/(100-Matriz!$B$5)*20,"")</f>
        <v>71.081081081081095</v>
      </c>
      <c r="N7" s="34" t="str">
        <f t="shared" si="0"/>
        <v>STM32H743ZI</v>
      </c>
    </row>
    <row r="8" spans="1:14" ht="21.75" customHeight="1">
      <c r="A8" s="4" t="s">
        <v>495</v>
      </c>
      <c r="B8" s="29" t="str">
        <f>IF(ISNUMBER(Matriz!C17),(SUMPRODUCT(Matriz!$B$5:$B$13,Matriz!C5:C13)-Matriz!$B$6*Matriz!C6)/(100-Matriz!$B$6)*20,"")</f>
        <v/>
      </c>
      <c r="C8" s="29">
        <f>IF(ISNUMBER(Matriz!D17),(SUMPRODUCT(Matriz!$B$5:$B$13,Matriz!D5:D13)-Matriz!$B$6*Matriz!D6)/(100-Matriz!$B$6)*20,"")</f>
        <v>73.437500000000014</v>
      </c>
      <c r="D8" s="29">
        <f>IF(ISNUMBER(Matriz!E17),(SUMPRODUCT(Matriz!$B$5:$B$13,Matriz!E5:E13)-Matriz!$B$6*Matriz!E6)/(100-Matriz!$B$6)*20,"")</f>
        <v>75.937499999999986</v>
      </c>
      <c r="E8" s="29">
        <f>IF(ISNUMBER(Matriz!F17),(SUMPRODUCT(Matriz!$B$5:$B$13,Matriz!F5:F13)-Matriz!$B$6*Matriz!F6)/(100-Matriz!$B$6)*20,"")</f>
        <v>81.875000000000014</v>
      </c>
      <c r="F8" s="29" t="str">
        <f>IF(ISNUMBER(Matriz!G17),(SUMPRODUCT(Matriz!$B$5:$B$13,Matriz!G5:G13)-Matriz!$B$6*Matriz!G6)/(100-Matriz!$B$6)*20,"")</f>
        <v/>
      </c>
      <c r="G8" s="35">
        <f>IF(ISNUMBER(Matriz!H17),(SUMPRODUCT(Matriz!$B$5:$B$13,Matriz!H5:H13)-Matriz!$B$6*Matriz!H6)/(100-Matriz!$B$6)*20,"")</f>
        <v>68.750000000000014</v>
      </c>
      <c r="H8">
        <f>IF(ISNUMBER(Matriz!I17),(SUMPRODUCT(Matriz!$B$5:$B$13,Matriz!I5:I13)-Matriz!$B$6*Matriz!I6)/(100-Matriz!$B$6)*20,"")</f>
        <v>89.375</v>
      </c>
      <c r="I8" s="35">
        <f>IF(ISNUMBER(Matriz!J17),(SUMPRODUCT(Matriz!$B$5:$B$13,Matriz!J5:J13)-Matriz!$B$6*Matriz!J6)/(100-Matriz!$B$6)*20,"")</f>
        <v>74.999999999999986</v>
      </c>
      <c r="J8">
        <f>IF(ISNUMBER(Matriz!K17),(SUMPRODUCT(Matriz!$B$5:$B$13,Matriz!K5:K13)-Matriz!$B$6*Matriz!K6)/(100-Matriz!$B$6)*20,"")</f>
        <v>73.437499999999986</v>
      </c>
      <c r="K8">
        <f>IF(ISNUMBER(Matriz!L17),(SUMPRODUCT(Matriz!$B$5:$B$13,Matriz!L5:L13)-Matriz!$B$6*Matriz!L6)/(100-Matriz!$B$6)*20,"")</f>
        <v>80.937500000000014</v>
      </c>
      <c r="L8">
        <f>IF(ISNUMBER(Matriz!M17),(SUMPRODUCT(Matriz!$B$5:$B$13,Matriz!M5:M13)-Matriz!$B$6*Matriz!M6)/(100-Matriz!$B$6)*20,"")</f>
        <v>85.625000000000014</v>
      </c>
      <c r="M8">
        <f>IF(ISNUMBER(Matriz!N17),(SUMPRODUCT(Matriz!$B$5:$B$13,Matriz!N5:N13)-Matriz!$B$6*Matriz!N6)/(100-Matriz!$B$6)*20,"")</f>
        <v>75.937500000000014</v>
      </c>
      <c r="N8" s="34" t="str">
        <f t="shared" si="0"/>
        <v>STM32H563ZI</v>
      </c>
    </row>
    <row r="9" spans="1:14" ht="21.75" customHeight="1">
      <c r="A9" s="4" t="s">
        <v>496</v>
      </c>
      <c r="B9" s="29" t="str">
        <f>IF(ISNUMBER(Matriz!C17),(SUMPRODUCT(Matriz!$B$5:$B$13,Matriz!C5:C13)-Matriz!$B$7*Matriz!C7)/(100-Matriz!$B$7)*20,"")</f>
        <v/>
      </c>
      <c r="C9" s="29">
        <f>IF(ISNUMBER(Matriz!D17),(SUMPRODUCT(Matriz!$B$5:$B$13,Matriz!D5:D13)-Matriz!$B$7*Matriz!D7)/(100-Matriz!$B$7)*20,"")</f>
        <v>71.358024691358025</v>
      </c>
      <c r="D9" s="29">
        <f>IF(ISNUMBER(Matriz!E17),(SUMPRODUCT(Matriz!$B$5:$B$13,Matriz!E5:E13)-Matriz!$B$7*Matriz!E7)/(100-Matriz!$B$7)*20,"")</f>
        <v>73.333333333333314</v>
      </c>
      <c r="E9" s="29">
        <f>IF(ISNUMBER(Matriz!F17),(SUMPRODUCT(Matriz!$B$5:$B$13,Matriz!F5:F13)-Matriz!$B$7*Matriz!F7)/(100-Matriz!$B$7)*20,"")</f>
        <v>86.41975308641976</v>
      </c>
      <c r="F9" s="29" t="str">
        <f>IF(ISNUMBER(Matriz!G17),(SUMPRODUCT(Matriz!$B$5:$B$13,Matriz!G5:G13)-Matriz!$B$7*Matriz!G7)/(100-Matriz!$B$7)*20,"")</f>
        <v/>
      </c>
      <c r="G9" s="35">
        <f>IF(ISNUMBER(Matriz!H17),(SUMPRODUCT(Matriz!$B$5:$B$13,Matriz!H5:H13)-Matriz!$B$7*Matriz!H7)/(100-Matriz!$B$7)*20,"")</f>
        <v>76.049382716049379</v>
      </c>
      <c r="H9">
        <f>IF(ISNUMBER(Matriz!I17),(SUMPRODUCT(Matriz!$B$5:$B$13,Matriz!I5:I13)-Matriz!$B$7*Matriz!I7)/(100-Matriz!$B$7)*20,"")</f>
        <v>82.469135802469125</v>
      </c>
      <c r="I9" s="35">
        <f>IF(ISNUMBER(Matriz!J17),(SUMPRODUCT(Matriz!$B$5:$B$13,Matriz!J5:J13)-Matriz!$B$7*Matriz!J7)/(100-Matriz!$B$7)*20,"")</f>
        <v>73.333333333333329</v>
      </c>
      <c r="J9">
        <f>IF(ISNUMBER(Matriz!K17),(SUMPRODUCT(Matriz!$B$5:$B$13,Matriz!K5:K13)-Matriz!$B$7*Matriz!K7)/(100-Matriz!$B$7)*20,"")</f>
        <v>72.098765432098759</v>
      </c>
      <c r="K9">
        <f>IF(ISNUMBER(Matriz!L17),(SUMPRODUCT(Matriz!$B$5:$B$13,Matriz!L5:L13)-Matriz!$B$7*Matriz!L7)/(100-Matriz!$B$7)*20,"")</f>
        <v>78.024691358024697</v>
      </c>
      <c r="L9">
        <f>IF(ISNUMBER(Matriz!M17),(SUMPRODUCT(Matriz!$B$5:$B$13,Matriz!M5:M13)-Matriz!$B$7*Matriz!M7)/(100-Matriz!$B$7)*20,"")</f>
        <v>81.728395061728406</v>
      </c>
      <c r="M9">
        <f>IF(ISNUMBER(Matriz!N17),(SUMPRODUCT(Matriz!$B$5:$B$13,Matriz!N5:N13)-Matriz!$B$7*Matriz!N7)/(100-Matriz!$B$7)*20,"")</f>
        <v>74.074074074074076</v>
      </c>
      <c r="N9" s="34" t="str">
        <f t="shared" si="0"/>
        <v>STM32H743ZI</v>
      </c>
    </row>
    <row r="10" spans="1:14" ht="21.75" customHeight="1">
      <c r="A10" s="4" t="s">
        <v>497</v>
      </c>
      <c r="B10" s="29" t="str">
        <f>IF(ISNUMBER(Matriz!C17),(SUMPRODUCT(Matriz!$B$5:$B$13,Matriz!C5:C13)-Matriz!$B$8*Matriz!C8)/(100-Matriz!$B$8)*20,"")</f>
        <v/>
      </c>
      <c r="C10" s="29">
        <f>IF(ISNUMBER(Matriz!D17),(SUMPRODUCT(Matriz!$B$5:$B$13,Matriz!D5:D13)-Matriz!$B$8*Matriz!D8)/(100-Matriz!$B$8)*20,"")</f>
        <v>66.666666666666671</v>
      </c>
      <c r="D10" s="29">
        <f>IF(ISNUMBER(Matriz!E17),(SUMPRODUCT(Matriz!$B$5:$B$13,Matriz!E5:E13)-Matriz!$B$8*Matriz!E8)/(100-Matriz!$B$8)*20,"")</f>
        <v>71.199999999999989</v>
      </c>
      <c r="E10" s="29">
        <f>IF(ISNUMBER(Matriz!F17),(SUMPRODUCT(Matriz!$B$5:$B$13,Matriz!F5:F13)-Matriz!$B$8*Matriz!F8)/(100-Matriz!$B$8)*20,"")</f>
        <v>84.533333333333346</v>
      </c>
      <c r="F10" s="29" t="str">
        <f>IF(ISNUMBER(Matriz!G17),(SUMPRODUCT(Matriz!$B$5:$B$13,Matriz!G5:G13)-Matriz!$B$8*Matriz!G8)/(100-Matriz!$B$8)*20,"")</f>
        <v/>
      </c>
      <c r="G10" s="35">
        <f>IF(ISNUMBER(Matriz!H17),(SUMPRODUCT(Matriz!$B$5:$B$13,Matriz!H5:H13)-Matriz!$B$8*Matriz!H8)/(100-Matriz!$B$8)*20,"")</f>
        <v>73.333333333333329</v>
      </c>
      <c r="H10">
        <f>IF(ISNUMBER(Matriz!I17),(SUMPRODUCT(Matriz!$B$5:$B$13,Matriz!I5:I13)-Matriz!$B$8*Matriz!I8)/(100-Matriz!$B$8)*20,"")</f>
        <v>80.266666666666652</v>
      </c>
      <c r="I10" s="35">
        <f>IF(ISNUMBER(Matriz!J17),(SUMPRODUCT(Matriz!$B$5:$B$13,Matriz!J5:J13)-Matriz!$B$8*Matriz!J8)/(100-Matriz!$B$8)*20,"")</f>
        <v>67.999999999999986</v>
      </c>
      <c r="J10">
        <f>IF(ISNUMBER(Matriz!K17),(SUMPRODUCT(Matriz!$B$5:$B$13,Matriz!K5:K13)-Matriz!$B$8*Matriz!K8)/(100-Matriz!$B$8)*20,"")</f>
        <v>66.666666666666657</v>
      </c>
      <c r="K10">
        <f>IF(ISNUMBER(Matriz!L17),(SUMPRODUCT(Matriz!$B$5:$B$13,Matriz!L5:L13)-Matriz!$B$8*Matriz!L8)/(100-Matriz!$B$8)*20,"")</f>
        <v>73.066666666666663</v>
      </c>
      <c r="L10">
        <f>IF(ISNUMBER(Matriz!M17),(SUMPRODUCT(Matriz!$B$5:$B$13,Matriz!M5:M13)-Matriz!$B$8*Matriz!M8)/(100-Matriz!$B$8)*20,"")</f>
        <v>79.466666666666669</v>
      </c>
      <c r="M10">
        <f>IF(ISNUMBER(Matriz!N17),(SUMPRODUCT(Matriz!$B$5:$B$13,Matriz!N5:N13)-Matriz!$B$8*Matriz!N8)/(100-Matriz!$B$8)*20,"")</f>
        <v>71.2</v>
      </c>
      <c r="N10" s="34" t="str">
        <f t="shared" si="0"/>
        <v>STM32H743ZI</v>
      </c>
    </row>
    <row r="11" spans="1:14" ht="21.75" customHeight="1">
      <c r="A11" s="4" t="s">
        <v>498</v>
      </c>
      <c r="B11" s="29" t="str">
        <f>IF(ISNUMBER(Matriz!C17),(SUMPRODUCT(Matriz!$B$5:$B$13,Matriz!C5:C13)-Matriz!$B$9*Matriz!C9)/(100-Matriz!$B$9)*20,"")</f>
        <v/>
      </c>
      <c r="C11" s="29">
        <f>IF(ISNUMBER(Matriz!D17),(SUMPRODUCT(Matriz!$B$5:$B$13,Matriz!D5:D13)-Matriz!$B$9*Matriz!D9)/(100-Matriz!$B$9)*20,"")</f>
        <v>69.21052631578948</v>
      </c>
      <c r="D11" s="29">
        <f>IF(ISNUMBER(Matriz!E17),(SUMPRODUCT(Matriz!$B$5:$B$13,Matriz!E5:E13)-Matriz!$B$9*Matriz!E9)/(100-Matriz!$B$9)*20,"")</f>
        <v>73.421052631578931</v>
      </c>
      <c r="E11" s="29">
        <f>IF(ISNUMBER(Matriz!F17),(SUMPRODUCT(Matriz!$B$5:$B$13,Matriz!F5:F13)-Matriz!$B$9*Matriz!F9)/(100-Matriz!$B$9)*20,"")</f>
        <v>91.052631578947384</v>
      </c>
      <c r="F11" s="29" t="str">
        <f>IF(ISNUMBER(Matriz!G17),(SUMPRODUCT(Matriz!$B$5:$B$13,Matriz!G5:G13)-Matriz!$B$9*Matriz!G9)/(100-Matriz!$B$9)*20,"")</f>
        <v/>
      </c>
      <c r="G11" s="35">
        <f>IF(ISNUMBER(Matriz!H17),(SUMPRODUCT(Matriz!$B$5:$B$13,Matriz!H5:H13)-Matriz!$B$9*Matriz!H9)/(100-Matriz!$B$9)*20,"")</f>
        <v>77.89473684210526</v>
      </c>
      <c r="H11">
        <f>IF(ISNUMBER(Matriz!I17),(SUMPRODUCT(Matriz!$B$5:$B$13,Matriz!I5:I13)-Matriz!$B$9*Matriz!I9)/(100-Matriz!$B$9)*20,"")</f>
        <v>82.631578947368411</v>
      </c>
      <c r="I11" s="35">
        <f>IF(ISNUMBER(Matriz!J17),(SUMPRODUCT(Matriz!$B$5:$B$13,Matriz!J5:J13)-Matriz!$B$9*Matriz!J9)/(100-Matriz!$B$9)*20,"")</f>
        <v>68.421052631578931</v>
      </c>
      <c r="J11">
        <f>IF(ISNUMBER(Matriz!K17),(SUMPRODUCT(Matriz!$B$5:$B$13,Matriz!K5:K13)-Matriz!$B$9*Matriz!K9)/(100-Matriz!$B$9)*20,"")</f>
        <v>67.105263157894726</v>
      </c>
      <c r="K11">
        <f>IF(ISNUMBER(Matriz!L17),(SUMPRODUCT(Matriz!$B$5:$B$13,Matriz!L5:L13)-Matriz!$B$9*Matriz!L9)/(100-Matriz!$B$9)*20,"")</f>
        <v>73.421052631578931</v>
      </c>
      <c r="L11">
        <f>IF(ISNUMBER(Matriz!M17),(SUMPRODUCT(Matriz!$B$5:$B$13,Matriz!M5:M13)-Matriz!$B$9*Matriz!M9)/(100-Matriz!$B$9)*20,"")</f>
        <v>77.368421052631575</v>
      </c>
      <c r="M11">
        <f>IF(ISNUMBER(Matriz!N17),(SUMPRODUCT(Matriz!$B$5:$B$13,Matriz!N5:N13)-Matriz!$B$9*Matriz!N9)/(100-Matriz!$B$9)*20,"")</f>
        <v>69.210526315789465</v>
      </c>
      <c r="N11" s="34" t="str">
        <f t="shared" si="0"/>
        <v>STM32H743ZI</v>
      </c>
    </row>
    <row r="12" spans="1:14" ht="21.75" customHeight="1">
      <c r="A12" s="4" t="s">
        <v>499</v>
      </c>
      <c r="B12" s="29" t="str">
        <f>IF(ISNUMBER(Matriz!C17),(SUMPRODUCT(Matriz!$B$5:$B$13,Matriz!C5:C13)-Matriz!$B$10*Matriz!C10)/(100-Matriz!$B$10)*20,"")</f>
        <v/>
      </c>
      <c r="C12" s="29">
        <f>IF(ISNUMBER(Matriz!D17),(SUMPRODUCT(Matriz!$B$5:$B$13,Matriz!D5:D13)-Matriz!$B$10*Matriz!D10)/(100-Matriz!$B$10)*20,"")</f>
        <v>74.576271186440678</v>
      </c>
      <c r="D12" s="29">
        <f>IF(ISNUMBER(Matriz!E17),(SUMPRODUCT(Matriz!$B$5:$B$13,Matriz!E5:E13)-Matriz!$B$10*Matriz!E10)/(100-Matriz!$B$10)*20,"")</f>
        <v>68.813559322033882</v>
      </c>
      <c r="E12" s="29">
        <f>IF(ISNUMBER(Matriz!F17),(SUMPRODUCT(Matriz!$B$5:$B$13,Matriz!F5:F13)-Matriz!$B$10*Matriz!F10)/(100-Matriz!$B$10)*20,"")</f>
        <v>80.338983050847474</v>
      </c>
      <c r="F12" s="29" t="str">
        <f>IF(ISNUMBER(Matriz!G17),(SUMPRODUCT(Matriz!$B$5:$B$13,Matriz!G5:G13)-Matriz!$B$10*Matriz!G10)/(100-Matriz!$B$10)*20,"")</f>
        <v/>
      </c>
      <c r="G12" s="35">
        <f>IF(ISNUMBER(Matriz!H17),(SUMPRODUCT(Matriz!$B$5:$B$13,Matriz!H5:H13)-Matriz!$B$10*Matriz!H10)/(100-Matriz!$B$10)*20,"")</f>
        <v>83.050847457627128</v>
      </c>
      <c r="H12">
        <f>IF(ISNUMBER(Matriz!I17),(SUMPRODUCT(Matriz!$B$5:$B$13,Matriz!I5:I13)-Matriz!$B$10*Matriz!I10)/(100-Matriz!$B$10)*20,"")</f>
        <v>74.915254237288124</v>
      </c>
      <c r="I12" s="35">
        <f>IF(ISNUMBER(Matriz!J17),(SUMPRODUCT(Matriz!$B$5:$B$13,Matriz!J5:J13)-Matriz!$B$10*Matriz!J10)/(100-Matriz!$B$10)*20,"")</f>
        <v>76.271186440677951</v>
      </c>
      <c r="J12">
        <f>IF(ISNUMBER(Matriz!K17),(SUMPRODUCT(Matriz!$B$5:$B$13,Matriz!K5:K13)-Matriz!$B$10*Matriz!K10)/(100-Matriz!$B$10)*20,"")</f>
        <v>74.576271186440664</v>
      </c>
      <c r="K12">
        <f>IF(ISNUMBER(Matriz!L17),(SUMPRODUCT(Matriz!$B$5:$B$13,Matriz!L5:L13)-Matriz!$B$10*Matriz!L10)/(100-Matriz!$B$10)*20,"")</f>
        <v>74.237288135593218</v>
      </c>
      <c r="L12">
        <f>IF(ISNUMBER(Matriz!M17),(SUMPRODUCT(Matriz!$B$5:$B$13,Matriz!M5:M13)-Matriz!$B$10*Matriz!M10)/(100-Matriz!$B$10)*20,"")</f>
        <v>70.847457627118644</v>
      </c>
      <c r="M12">
        <f>IF(ISNUMBER(Matriz!N17),(SUMPRODUCT(Matriz!$B$5:$B$13,Matriz!N5:N13)-Matriz!$B$10*Matriz!N10)/(100-Matriz!$B$10)*20,"")</f>
        <v>68.813559322033896</v>
      </c>
      <c r="N12" s="34" t="str">
        <f t="shared" si="0"/>
        <v>STM32F767ZI</v>
      </c>
    </row>
    <row r="13" spans="1:14" ht="21.75" customHeight="1">
      <c r="A13" s="4" t="s">
        <v>500</v>
      </c>
      <c r="B13" s="29" t="str">
        <f>IF(ISNUMBER(Matriz!C17),(SUMPRODUCT(Matriz!$B$5:$B$13,Matriz!C5:C13)-Matriz!$B$11*Matriz!C11)/(100-Matriz!$B$11)*20,"")</f>
        <v/>
      </c>
      <c r="C13" s="29">
        <f>IF(ISNUMBER(Matriz!D17),(SUMPRODUCT(Matriz!$B$5:$B$13,Matriz!D5:D13)-Matriz!$B$11*Matriz!D11)/(100-Matriz!$B$11)*20,"")</f>
        <v>70.75</v>
      </c>
      <c r="D13" s="29">
        <f>IF(ISNUMBER(Matriz!E17),(SUMPRODUCT(Matriz!$B$5:$B$13,Matriz!E5:E13)-Matriz!$B$11*Matriz!E11)/(100-Matriz!$B$11)*20,"")</f>
        <v>72.749999999999986</v>
      </c>
      <c r="E13" s="29">
        <f>IF(ISNUMBER(Matriz!F17),(SUMPRODUCT(Matriz!$B$5:$B$13,Matriz!F5:F13)-Matriz!$B$11*Matriz!F11)/(100-Matriz!$B$11)*20,"")</f>
        <v>87.500000000000014</v>
      </c>
      <c r="F13" s="29" t="str">
        <f>IF(ISNUMBER(Matriz!G17),(SUMPRODUCT(Matriz!$B$5:$B$13,Matriz!G5:G13)-Matriz!$B$11*Matriz!G11)/(100-Matriz!$B$11)*20,"")</f>
        <v/>
      </c>
      <c r="G13" s="35">
        <f>IF(ISNUMBER(Matriz!H17),(SUMPRODUCT(Matriz!$B$5:$B$13,Matriz!H5:H13)-Matriz!$B$11*Matriz!H11)/(100-Matriz!$B$11)*20,"")</f>
        <v>77</v>
      </c>
      <c r="H13">
        <f>IF(ISNUMBER(Matriz!I17),(SUMPRODUCT(Matriz!$B$5:$B$13,Matriz!I5:I13)-Matriz!$B$11*Matriz!I11)/(100-Matriz!$B$11)*20,"")</f>
        <v>83.5</v>
      </c>
      <c r="I13" s="35">
        <f>IF(ISNUMBER(Matriz!J17),(SUMPRODUCT(Matriz!$B$5:$B$13,Matriz!J5:J13)-Matriz!$B$11*Matriz!J11)/(100-Matriz!$B$11)*20,"")</f>
        <v>72</v>
      </c>
      <c r="J13">
        <f>IF(ISNUMBER(Matriz!K17),(SUMPRODUCT(Matriz!$B$5:$B$13,Matriz!K5:K13)-Matriz!$B$11*Matriz!K11)/(100-Matriz!$B$11)*20,"")</f>
        <v>70.75</v>
      </c>
      <c r="K13">
        <f>IF(ISNUMBER(Matriz!L17),(SUMPRODUCT(Matriz!$B$5:$B$13,Matriz!L5:L13)-Matriz!$B$11*Matriz!L11)/(100-Matriz!$B$11)*20,"")</f>
        <v>76.75</v>
      </c>
      <c r="L13">
        <f>IF(ISNUMBER(Matriz!M17),(SUMPRODUCT(Matriz!$B$5:$B$13,Matriz!M5:M13)-Matriz!$B$11*Matriz!M11)/(100-Matriz!$B$11)*20,"")</f>
        <v>80.5</v>
      </c>
      <c r="M13">
        <f>IF(ISNUMBER(Matriz!N17),(SUMPRODUCT(Matriz!$B$5:$B$13,Matriz!N5:N13)-Matriz!$B$11*Matriz!N11)/(100-Matriz!$B$11)*20,"")</f>
        <v>72.75</v>
      </c>
      <c r="N13" s="34" t="str">
        <f t="shared" si="0"/>
        <v>STM32H743ZI</v>
      </c>
    </row>
    <row r="14" spans="1:14" ht="21.75" customHeight="1">
      <c r="A14" s="4" t="s">
        <v>501</v>
      </c>
      <c r="B14" s="29" t="str">
        <f>IF(ISNUMBER(Matriz!C17),(SUMPRODUCT(Matriz!$B$5:$B$13,Matriz!C5:C13)-Matriz!$B$12*Matriz!C12)/(100-Matriz!$B$12)*20,"")</f>
        <v/>
      </c>
      <c r="C14" s="29">
        <f>IF(ISNUMBER(Matriz!D17),(SUMPRODUCT(Matriz!$B$5:$B$13,Matriz!D5:D13)-Matriz!$B$12*Matriz!D12)/(100-Matriz!$B$12)*20,"")</f>
        <v>69.135802469135811</v>
      </c>
      <c r="D14" s="29">
        <f>IF(ISNUMBER(Matriz!E17),(SUMPRODUCT(Matriz!$B$5:$B$13,Matriz!E5:E13)-Matriz!$B$12*Matriz!E12)/(100-Matriz!$B$12)*20,"")</f>
        <v>71.111111111111114</v>
      </c>
      <c r="E14" s="29">
        <f>IF(ISNUMBER(Matriz!F17),(SUMPRODUCT(Matriz!$B$5:$B$13,Matriz!F5:F13)-Matriz!$B$12*Matriz!F12)/(100-Matriz!$B$12)*20,"")</f>
        <v>87.901234567901241</v>
      </c>
      <c r="F14" s="29" t="str">
        <f>IF(ISNUMBER(Matriz!G17),(SUMPRODUCT(Matriz!$B$5:$B$13,Matriz!G5:G13)-Matriz!$B$12*Matriz!G12)/(100-Matriz!$B$12)*20,"")</f>
        <v/>
      </c>
      <c r="G14" s="35">
        <f>IF(ISNUMBER(Matriz!H17),(SUMPRODUCT(Matriz!$B$5:$B$13,Matriz!H5:H13)-Matriz!$B$12*Matriz!H12)/(100-Matriz!$B$12)*20,"")</f>
        <v>77.53086419753086</v>
      </c>
      <c r="H14">
        <f>IF(ISNUMBER(Matriz!I17),(SUMPRODUCT(Matriz!$B$5:$B$13,Matriz!I5:I13)-Matriz!$B$12*Matriz!I12)/(100-Matriz!$B$12)*20,"")</f>
        <v>82.469135802469125</v>
      </c>
      <c r="I14" s="35">
        <f>IF(ISNUMBER(Matriz!J17),(SUMPRODUCT(Matriz!$B$5:$B$13,Matriz!J5:J13)-Matriz!$B$12*Matriz!J12)/(100-Matriz!$B$12)*20,"")</f>
        <v>70.370370370370367</v>
      </c>
      <c r="J14">
        <f>IF(ISNUMBER(Matriz!K17),(SUMPRODUCT(Matriz!$B$5:$B$13,Matriz!K5:K13)-Matriz!$B$12*Matriz!K12)/(100-Matriz!$B$12)*20,"")</f>
        <v>69.87654320987653</v>
      </c>
      <c r="K14">
        <f>IF(ISNUMBER(Matriz!L17),(SUMPRODUCT(Matriz!$B$5:$B$13,Matriz!L5:L13)-Matriz!$B$12*Matriz!L12)/(100-Matriz!$B$12)*20,"")</f>
        <v>76.543209876543202</v>
      </c>
      <c r="L14">
        <f>IF(ISNUMBER(Matriz!M17),(SUMPRODUCT(Matriz!$B$5:$B$13,Matriz!M5:M13)-Matriz!$B$12*Matriz!M12)/(100-Matriz!$B$12)*20,"")</f>
        <v>79.506172839506178</v>
      </c>
      <c r="M14">
        <f>IF(ISNUMBER(Matriz!N17),(SUMPRODUCT(Matriz!$B$5:$B$13,Matriz!N5:N13)-Matriz!$B$12*Matriz!N12)/(100-Matriz!$B$12)*20,"")</f>
        <v>73.333333333333329</v>
      </c>
      <c r="N14" s="34" t="str">
        <f t="shared" si="0"/>
        <v>STM32H743ZI</v>
      </c>
    </row>
    <row r="15" spans="1:14" ht="21.75" customHeight="1">
      <c r="A15" s="4" t="s">
        <v>502</v>
      </c>
      <c r="B15" s="29" t="str">
        <f>IF(ISNUMBER(Matriz!C17),(SUMPRODUCT(Matriz!$B$5:$B$13,Matriz!C5:C13)-Matriz!$B$13*Matriz!C13)/(100-Matriz!$B$13)*20,"")</f>
        <v/>
      </c>
      <c r="C15" s="29">
        <f>IF(ISNUMBER(Matriz!D17),(SUMPRODUCT(Matriz!$B$5:$B$13,Matriz!D5:D13)-Matriz!$B$13*Matriz!D13)/(100-Matriz!$B$13)*20,"")</f>
        <v>69.512195121951223</v>
      </c>
      <c r="D15" s="29">
        <f>IF(ISNUMBER(Matriz!E17),(SUMPRODUCT(Matriz!$B$5:$B$13,Matriz!E5:E13)-Matriz!$B$13*Matriz!E13)/(100-Matriz!$B$13)*20,"")</f>
        <v>71.463414634146318</v>
      </c>
      <c r="E15" s="29">
        <f>IF(ISNUMBER(Matriz!F17),(SUMPRODUCT(Matriz!$B$5:$B$13,Matriz!F5:F13)-Matriz!$B$13*Matriz!F13)/(100-Matriz!$B$13)*20,"")</f>
        <v>86.82926829268294</v>
      </c>
      <c r="F15" s="29" t="str">
        <f>IF(ISNUMBER(Matriz!G17),(SUMPRODUCT(Matriz!$B$5:$B$13,Matriz!G5:G13)-Matriz!$B$13*Matriz!G13)/(100-Matriz!$B$13)*20,"")</f>
        <v/>
      </c>
      <c r="G15" s="35">
        <f>IF(ISNUMBER(Matriz!H17),(SUMPRODUCT(Matriz!$B$5:$B$13,Matriz!H5:H13)-Matriz!$B$13*Matriz!H13)/(100-Matriz!$B$13)*20,"")</f>
        <v>76.58536585365853</v>
      </c>
      <c r="H15">
        <f>IF(ISNUMBER(Matriz!I17),(SUMPRODUCT(Matriz!$B$5:$B$13,Matriz!I5:I13)-Matriz!$B$13*Matriz!I13)/(100-Matriz!$B$13)*20,"")</f>
        <v>82.439024390243887</v>
      </c>
      <c r="I15" s="35">
        <f>IF(ISNUMBER(Matriz!J17),(SUMPRODUCT(Matriz!$B$5:$B$13,Matriz!J5:J13)-Matriz!$B$13*Matriz!J13)/(100-Matriz!$B$13)*20,"")</f>
        <v>70.731707317073159</v>
      </c>
      <c r="J15">
        <f>IF(ISNUMBER(Matriz!K17),(SUMPRODUCT(Matriz!$B$5:$B$13,Matriz!K5:K13)-Matriz!$B$13*Matriz!K13)/(100-Matriz!$B$13)*20,"")</f>
        <v>69.999999999999986</v>
      </c>
      <c r="K15">
        <f>IF(ISNUMBER(Matriz!L17),(SUMPRODUCT(Matriz!$B$5:$B$13,Matriz!L5:L13)-Matriz!$B$13*Matriz!L13)/(100-Matriz!$B$13)*20,"")</f>
        <v>75.365853658536579</v>
      </c>
      <c r="L15">
        <f>IF(ISNUMBER(Matriz!M17),(SUMPRODUCT(Matriz!$B$5:$B$13,Matriz!M5:M13)-Matriz!$B$13*Matriz!M13)/(100-Matriz!$B$13)*20,"")</f>
        <v>80</v>
      </c>
      <c r="M15">
        <f>IF(ISNUMBER(Matriz!N17),(SUMPRODUCT(Matriz!$B$5:$B$13,Matriz!N5:N13)-Matriz!$B$13*Matriz!N13)/(100-Matriz!$B$13)*20,"")</f>
        <v>72.439024390243901</v>
      </c>
      <c r="N15" s="34" t="str">
        <f t="shared" si="0"/>
        <v>STM32H743ZI</v>
      </c>
    </row>
    <row r="17" spans="1:7" ht="33.75" customHeight="1">
      <c r="A17" s="3" t="s">
        <v>503</v>
      </c>
      <c r="B17" s="55" t="str">
        <f>IF(N5="—","Todavía no hay notas.",IF(COUNTIF(N5:N15,N5)=11,"Decisión robusta: gana el mismo en los 11 escenarios. Los pesos no deciden.","Decisión sensible a los pesos: hay "&amp;11-COUNTIF(N5:N15,N5)&amp;" escenario(s) con otro ganador. Mira cuáles y decide con un criterio de desempate declarado."))</f>
        <v>Decisión sensible a los pesos: hay 3 escenario(s) con otro ganador. Mira cuáles y decide con un criterio de desempate declarado.</v>
      </c>
      <c r="C17" s="46"/>
      <c r="D17" s="46"/>
      <c r="E17" s="46"/>
      <c r="F17" s="46"/>
      <c r="G17" s="47"/>
    </row>
    <row r="19" spans="1:7" ht="57.75" customHeight="1">
      <c r="A19" s="49" t="s">
        <v>504</v>
      </c>
      <c r="B19" s="41"/>
      <c r="C19" s="41"/>
      <c r="D19" s="41"/>
      <c r="E19" s="41"/>
      <c r="F19" s="41"/>
      <c r="G19" s="41"/>
    </row>
    <row r="21" spans="1:7" ht="43.5" customHeight="1">
      <c r="A21" s="42" t="s">
        <v>505</v>
      </c>
      <c r="B21" s="41"/>
      <c r="C21" s="41"/>
      <c r="D21" s="41"/>
      <c r="E21" s="41"/>
      <c r="F21" s="41"/>
      <c r="G21" s="41"/>
    </row>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9:G19"/>
    <mergeCell ref="A21:G21"/>
    <mergeCell ref="A2:H2"/>
    <mergeCell ref="B17:G17"/>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Leyenda</vt:lpstr>
      <vt:lpstr>Inventario</vt:lpstr>
      <vt:lpstr>Requisitos</vt:lpstr>
      <vt:lpstr>Umbrales</vt:lpstr>
      <vt:lpstr>Pesos</vt:lpstr>
      <vt:lpstr>Escala</vt:lpstr>
      <vt:lpstr>Matriz</vt:lpstr>
      <vt:lpstr>Sensibilidad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Gallego Broto</cp:lastModifiedBy>
  <dcterms:created xsi:type="dcterms:W3CDTF">2026-09-29T16:10:23Z</dcterms:created>
  <dcterms:modified xsi:type="dcterms:W3CDTF">2026-09-30T15:20:25Z</dcterms:modified>
</cp:coreProperties>
</file>